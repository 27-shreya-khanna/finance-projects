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harm\OneDrive\Desktop\"/>
    </mc:Choice>
  </mc:AlternateContent>
  <xr:revisionPtr revIDLastSave="0" documentId="8_{D7D333D2-F072-44A2-891B-AA296E909CD6}" xr6:coauthVersionLast="47" xr6:coauthVersionMax="47" xr10:uidLastSave="{00000000-0000-0000-0000-000000000000}"/>
  <bookViews>
    <workbookView xWindow="-108" yWindow="-108" windowWidth="23256" windowHeight="12456" activeTab="2" xr2:uid="{2C27CE4C-EAF7-48C7-AA13-CA5B1D79BC1B}"/>
  </bookViews>
  <sheets>
    <sheet name="EVA" sheetId="1" r:id="rId1"/>
    <sheet name="BETA" sheetId="2"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E62" i="2"/>
  <c r="E63" i="2"/>
  <c r="E64" i="2"/>
  <c r="E65" i="2"/>
  <c r="D62" i="2"/>
  <c r="D63" i="2"/>
  <c r="D64" i="2"/>
  <c r="D65" i="2"/>
  <c r="D4" i="2"/>
  <c r="D5" i="2"/>
  <c r="D6" i="2"/>
  <c r="D7" i="2"/>
  <c r="D8" i="2"/>
  <c r="D9" i="2"/>
  <c r="D10" i="2"/>
  <c r="D11" i="2"/>
  <c r="D12" i="2"/>
  <c r="B37" i="1" s="1"/>
  <c r="B38" i="1"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F5" i="1"/>
  <c r="F6" i="1"/>
  <c r="F7" i="1"/>
  <c r="F8" i="1"/>
  <c r="F4" i="1"/>
  <c r="D5" i="1"/>
  <c r="D6" i="1"/>
  <c r="D7" i="1"/>
  <c r="D8" i="1"/>
  <c r="D4" i="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3" i="2"/>
  <c r="D3" i="2"/>
  <c r="B35" i="1"/>
  <c r="F26" i="1"/>
  <c r="G26" i="1" s="1"/>
  <c r="F27" i="1"/>
  <c r="G27" i="1" s="1"/>
  <c r="F28" i="1"/>
  <c r="G28" i="1" s="1"/>
  <c r="F29" i="1"/>
  <c r="G29" i="1" s="1"/>
  <c r="F25" i="1"/>
  <c r="G25" i="1" s="1"/>
  <c r="G17" i="1"/>
  <c r="H17" i="1" s="1"/>
  <c r="G18" i="1"/>
  <c r="H18" i="1" s="1"/>
  <c r="G19" i="1"/>
  <c r="H19" i="1" s="1"/>
  <c r="G20" i="1"/>
  <c r="H20" i="1" s="1"/>
  <c r="G16" i="1"/>
  <c r="H16" i="1" s="1"/>
  <c r="H25" i="1" l="1"/>
  <c r="E34" i="1" s="1"/>
  <c r="E4" i="1" s="1"/>
  <c r="G4" i="1" s="1"/>
  <c r="H29" i="1"/>
  <c r="E38" i="1" s="1"/>
  <c r="E8" i="1" s="1"/>
  <c r="G8" i="1" s="1"/>
  <c r="H28" i="1"/>
  <c r="E37" i="1" s="1"/>
  <c r="E7" i="1" s="1"/>
  <c r="G7" i="1" s="1"/>
  <c r="H27" i="1"/>
  <c r="E36" i="1" s="1"/>
  <c r="E6" i="1" s="1"/>
  <c r="G6" i="1" s="1"/>
  <c r="H26" i="1"/>
  <c r="E35" i="1" s="1"/>
  <c r="E5" i="1" s="1"/>
  <c r="G5" i="1" s="1"/>
</calcChain>
</file>

<file path=xl/sharedStrings.xml><?xml version="1.0" encoding="utf-8"?>
<sst xmlns="http://schemas.openxmlformats.org/spreadsheetml/2006/main" count="102" uniqueCount="96">
  <si>
    <t xml:space="preserve">EVA </t>
  </si>
  <si>
    <t>NOPAT</t>
  </si>
  <si>
    <t>EBIT(1-TAX)</t>
  </si>
  <si>
    <t>Year</t>
  </si>
  <si>
    <t>Operating Profit (EBIT)</t>
  </si>
  <si>
    <t>PBT</t>
  </si>
  <si>
    <t>Total Tax</t>
  </si>
  <si>
    <t>Effective Tax Rate</t>
  </si>
  <si>
    <t>WACC</t>
  </si>
  <si>
    <t>NOPAT -(WACC*CAPITAL EMPLOYED)</t>
  </si>
  <si>
    <t>CAPITAL EMPLOYED</t>
  </si>
  <si>
    <t>EQUITY + DEBT</t>
  </si>
  <si>
    <t>Shareholder Funds</t>
  </si>
  <si>
    <t>Total Debt</t>
  </si>
  <si>
    <t>Capital Employed</t>
  </si>
  <si>
    <t>risk free rate</t>
  </si>
  <si>
    <t>AAA- spread</t>
  </si>
  <si>
    <t>Kd</t>
  </si>
  <si>
    <t>Date</t>
  </si>
  <si>
    <t>Reliance</t>
  </si>
  <si>
    <t>Nifty</t>
  </si>
  <si>
    <t>1-Jan-2017</t>
  </si>
  <si>
    <t>1-Feb-2017</t>
  </si>
  <si>
    <t>1-Mar-2017</t>
  </si>
  <si>
    <t>1-Apr-2017</t>
  </si>
  <si>
    <t>1-May-2017</t>
  </si>
  <si>
    <t>1-Jun-2017</t>
  </si>
  <si>
    <t>1-Jul-2017</t>
  </si>
  <si>
    <t>1-Aug-2017</t>
  </si>
  <si>
    <t>1-Sep-2017</t>
  </si>
  <si>
    <t>1-Oct-2017</t>
  </si>
  <si>
    <t>1-Nov-2017</t>
  </si>
  <si>
    <t>1-Dec-2017</t>
  </si>
  <si>
    <t>1-Jan-2018</t>
  </si>
  <si>
    <t>1-Feb-2018</t>
  </si>
  <si>
    <t>1-Mar-2018</t>
  </si>
  <si>
    <t>1-Apr-2018</t>
  </si>
  <si>
    <t>1-May-2018</t>
  </si>
  <si>
    <t>1-Jun-2018</t>
  </si>
  <si>
    <t>1-Jul-2018</t>
  </si>
  <si>
    <t>1-Aug-2018</t>
  </si>
  <si>
    <t>1-Sep-2018</t>
  </si>
  <si>
    <t>1-Oct-2018</t>
  </si>
  <si>
    <t>1-Nov-2018</t>
  </si>
  <si>
    <t>1-Dec-2018</t>
  </si>
  <si>
    <t>1-Jan-2019</t>
  </si>
  <si>
    <t>1-Feb-2019</t>
  </si>
  <si>
    <t>1-Mar-2019</t>
  </si>
  <si>
    <t>1-Apr-2019</t>
  </si>
  <si>
    <t>1-May-2019</t>
  </si>
  <si>
    <t>1-Jun-2019</t>
  </si>
  <si>
    <t>1-Jul-2019</t>
  </si>
  <si>
    <t>1-Aug-2019</t>
  </si>
  <si>
    <t>1-Sep-2019</t>
  </si>
  <si>
    <t>1-Oct-2019</t>
  </si>
  <si>
    <t>1-Nov-2019</t>
  </si>
  <si>
    <t>1-Dec-2019</t>
  </si>
  <si>
    <t>1-Jan-2020</t>
  </si>
  <si>
    <t>1-Feb-2020</t>
  </si>
  <si>
    <t>1-Mar-2020</t>
  </si>
  <si>
    <t>1-Apr-2020</t>
  </si>
  <si>
    <t>1-May-2020</t>
  </si>
  <si>
    <t>1-Jun-2020</t>
  </si>
  <si>
    <t>1-Jul-2020</t>
  </si>
  <si>
    <t>1-Aug-2020</t>
  </si>
  <si>
    <t>1-Sep-2020</t>
  </si>
  <si>
    <t>1-Oct-2020</t>
  </si>
  <si>
    <t>1-Nov-2020</t>
  </si>
  <si>
    <t>1-Dec-2020</t>
  </si>
  <si>
    <t>1-Jan-2021</t>
  </si>
  <si>
    <t>1-Feb-2021</t>
  </si>
  <si>
    <t>1-Mar-2021</t>
  </si>
  <si>
    <t>1-Apr-2021</t>
  </si>
  <si>
    <t>1-May-2021</t>
  </si>
  <si>
    <t>1-Jun-2021</t>
  </si>
  <si>
    <t>1-Jul-2021</t>
  </si>
  <si>
    <t>1-Aug-2021</t>
  </si>
  <si>
    <t>1-Sep-2021</t>
  </si>
  <si>
    <t>1-Oct-2021</t>
  </si>
  <si>
    <t>1-Nov-2021</t>
  </si>
  <si>
    <t>1-Dec-2021</t>
  </si>
  <si>
    <t>R_Reliance</t>
  </si>
  <si>
    <t>R_Nifty</t>
  </si>
  <si>
    <t>BETA</t>
  </si>
  <si>
    <t>ERP</t>
  </si>
  <si>
    <t>Ke</t>
  </si>
  <si>
    <t>Beta</t>
  </si>
  <si>
    <t>EQUITY Weights=We</t>
  </si>
  <si>
    <t>DEBT Weights=Wd</t>
  </si>
  <si>
    <t>(We*Ke)+(Wd*Kd*(1−t))</t>
  </si>
  <si>
    <t xml:space="preserve">Year </t>
  </si>
  <si>
    <t>YEAR</t>
  </si>
  <si>
    <t>CAPITAL MPLOYED</t>
  </si>
  <si>
    <t>EVA</t>
  </si>
  <si>
    <r>
      <rPr>
        <b/>
        <sz val="12"/>
        <color theme="1"/>
        <rFont val="Calibri"/>
        <family val="2"/>
      </rPr>
      <t>CASE BACKDROP</t>
    </r>
    <r>
      <rPr>
        <sz val="12"/>
        <color theme="1"/>
        <rFont val="Calibri"/>
        <family val="2"/>
      </rPr>
      <t xml:space="preserve">
1. Reliance Industries exhibited strong operating growth between 2017 and 2021, with operating profit rising from ₹555,290 million (2017) to ₹1,032,220 million (2021).
2. NOPAT increased correspondingly from ₹413,740 million (2017) to ₹1,000,215 million (2021), indicating expansion in after-tax operating earnings.
3. The company pursued aggressive investments in telecom, retail, and digital businesses, resulting in a sharp increase in capital employed.
4. Capital employed nearly doubled from ₹4,811,840 million (2017) to ₹9,708,200 million (2021), reflecting a capital-intensive expansion phase.</t>
    </r>
  </si>
  <si>
    <r>
      <rPr>
        <b/>
        <sz val="12"/>
        <color theme="1"/>
        <rFont val="Calibri"/>
        <family val="2"/>
      </rPr>
      <t>CONCLUSION</t>
    </r>
    <r>
      <rPr>
        <sz val="12"/>
        <color theme="1"/>
        <rFont val="Calibri"/>
        <family val="2"/>
      </rPr>
      <t xml:space="preserve">
Reliance’s financial performance reflects strong operating growth but subdued economic profit during 2017–2021.
Persistent negative EVA suggests that the firm’s expansion had not yet translated into returns exceeding investor expectations.
However, the scale and nature of investments imply a strategic value-investment phase, not structural weakness.
Future value creation depends on Reliance’s ability to generate sustained positive EVA through improved capital productivity.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</si>
</sst>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0"/>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b/>
      <sz val="18"/>
      <color theme="1"/>
      <name val="Aptos Narrow"/>
      <family val="2"/>
      <scheme val="minor"/>
    </font>
    <font>
      <sz val="12"/>
      <color theme="1"/>
      <name val="Calibri"/>
      <family val="2"/>
    </font>
    <font>
      <b/>
      <sz val="12"/>
      <color theme="1"/>
      <name val="Calibri"/>
      <family val="2"/>
    </font>
  </fonts>
  <fills count="4">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0" borderId="0" xfId="0" applyFont="1"/>
    <xf numFmtId="0" fontId="1" fillId="0" borderId="0" xfId="0" applyFont="1" applyAlignment="1">
      <alignment horizontal="center" vertical="center" wrapText="1"/>
    </xf>
    <xf numFmtId="3" fontId="0" fillId="0" borderId="0" xfId="0" applyNumberFormat="1" applyAlignment="1">
      <alignment vertical="center" wrapText="1"/>
    </xf>
    <xf numFmtId="10" fontId="0" fillId="0" borderId="0" xfId="0" applyNumberFormat="1"/>
    <xf numFmtId="3" fontId="1" fillId="0" borderId="0" xfId="0" applyNumberFormat="1" applyFont="1" applyAlignment="1">
      <alignment vertical="center" wrapText="1"/>
    </xf>
    <xf numFmtId="166" fontId="0" fillId="0" borderId="0" xfId="0" applyNumberFormat="1" applyAlignment="1">
      <alignment vertical="center" wrapText="1"/>
    </xf>
    <xf numFmtId="166" fontId="0" fillId="0" borderId="0" xfId="0" applyNumberFormat="1" applyFont="1" applyAlignment="1">
      <alignment vertical="center" wrapText="1"/>
    </xf>
    <xf numFmtId="10" fontId="0" fillId="0" borderId="0" xfId="1" applyNumberFormat="1" applyFont="1"/>
    <xf numFmtId="0" fontId="0" fillId="0" borderId="0" xfId="1" applyNumberFormat="1" applyFont="1"/>
    <xf numFmtId="0" fontId="0" fillId="0" borderId="1" xfId="0" applyBorder="1" applyAlignment="1">
      <alignment vertical="center" wrapText="1"/>
    </xf>
    <xf numFmtId="3" fontId="0" fillId="0" borderId="1" xfId="0" applyNumberFormat="1" applyBorder="1" applyAlignment="1">
      <alignment vertical="center" wrapText="1"/>
    </xf>
    <xf numFmtId="10" fontId="0" fillId="0" borderId="1" xfId="0" applyNumberFormat="1" applyBorder="1" applyAlignment="1">
      <alignment vertical="center" wrapText="1"/>
    </xf>
    <xf numFmtId="0" fontId="0" fillId="0" borderId="1" xfId="0" applyBorder="1"/>
    <xf numFmtId="0" fontId="1" fillId="2" borderId="1" xfId="0" applyFont="1" applyFill="1" applyBorder="1" applyAlignment="1">
      <alignment horizontal="center" vertical="center" wrapText="1"/>
    </xf>
    <xf numFmtId="0" fontId="1" fillId="2" borderId="1" xfId="0" applyFont="1" applyFill="1" applyBorder="1"/>
    <xf numFmtId="10" fontId="0" fillId="0" borderId="1" xfId="1" applyNumberFormat="1" applyFont="1" applyBorder="1"/>
    <xf numFmtId="0" fontId="1" fillId="2" borderId="1" xfId="0" applyFont="1" applyFill="1" applyBorder="1" applyAlignment="1">
      <alignment horizontal="center"/>
    </xf>
    <xf numFmtId="10" fontId="0" fillId="0" borderId="1" xfId="0" applyNumberFormat="1" applyBorder="1"/>
    <xf numFmtId="3" fontId="0" fillId="0" borderId="1" xfId="0" applyNumberFormat="1" applyBorder="1"/>
    <xf numFmtId="0" fontId="1" fillId="3" borderId="1" xfId="0" applyFont="1" applyFill="1" applyBorder="1" applyAlignment="1"/>
    <xf numFmtId="15" fontId="0" fillId="0" borderId="0" xfId="0" applyNumberFormat="1"/>
    <xf numFmtId="0" fontId="5"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2287-1E7E-46ED-94E5-C15F2F406F19}">
  <dimension ref="A1:H38"/>
  <sheetViews>
    <sheetView topLeftCell="B1" workbookViewId="0">
      <selection activeCell="K15" sqref="K15"/>
    </sheetView>
  </sheetViews>
  <sheetFormatPr defaultRowHeight="14.4" x14ac:dyDescent="0.3"/>
  <cols>
    <col min="1" max="1" width="17.44140625" bestFit="1" customWidth="1"/>
    <col min="2" max="2" width="32.109375" bestFit="1" customWidth="1"/>
    <col min="3" max="3" width="15.77734375" customWidth="1"/>
    <col min="4" max="4" width="23.88671875" customWidth="1"/>
    <col min="5" max="5" width="20.109375" customWidth="1"/>
    <col min="6" max="6" width="17.21875" customWidth="1"/>
    <col min="7" max="7" width="19.5546875" customWidth="1"/>
    <col min="8" max="8" width="20.33203125" customWidth="1"/>
  </cols>
  <sheetData>
    <row r="1" spans="1:8" x14ac:dyDescent="0.3">
      <c r="A1" s="1" t="s">
        <v>0</v>
      </c>
      <c r="B1" s="1" t="s">
        <v>9</v>
      </c>
    </row>
    <row r="2" spans="1:8" x14ac:dyDescent="0.3">
      <c r="A2" s="1"/>
      <c r="B2" s="1"/>
    </row>
    <row r="3" spans="1:8" x14ac:dyDescent="0.3">
      <c r="A3" s="1"/>
      <c r="B3" s="1"/>
      <c r="C3" s="17" t="s">
        <v>91</v>
      </c>
      <c r="D3" s="17" t="s">
        <v>1</v>
      </c>
      <c r="E3" s="17" t="s">
        <v>8</v>
      </c>
      <c r="F3" s="17" t="s">
        <v>92</v>
      </c>
      <c r="G3" s="17" t="s">
        <v>93</v>
      </c>
    </row>
    <row r="4" spans="1:8" x14ac:dyDescent="0.3">
      <c r="A4" s="1"/>
      <c r="B4" s="1"/>
      <c r="C4" s="13">
        <v>2017</v>
      </c>
      <c r="D4" s="13">
        <f>H16</f>
        <v>413797.43642903533</v>
      </c>
      <c r="E4" s="18">
        <f>E34</f>
        <v>0.10473784901838733</v>
      </c>
      <c r="F4" s="19">
        <f>F25</f>
        <v>4811840</v>
      </c>
      <c r="G4" s="20">
        <f>D4-(E4*F4)</f>
        <v>-90184.334991601529</v>
      </c>
    </row>
    <row r="5" spans="1:8" x14ac:dyDescent="0.3">
      <c r="A5" s="1"/>
      <c r="B5" s="1"/>
      <c r="C5" s="13">
        <v>2018</v>
      </c>
      <c r="D5" s="13">
        <f t="shared" ref="D5:D8" si="0">H17</f>
        <v>541528.49107757048</v>
      </c>
      <c r="E5" s="18">
        <f t="shared" ref="E5:E8" si="1">E35</f>
        <v>0.10436524894042733</v>
      </c>
      <c r="F5" s="19">
        <f t="shared" ref="F5:F8" si="2">F26</f>
        <v>5333490</v>
      </c>
      <c r="G5" s="20">
        <f t="shared" ref="G5:G8" si="3">D5-(E5*F5)</f>
        <v>-15102.520493709249</v>
      </c>
    </row>
    <row r="6" spans="1:8" x14ac:dyDescent="0.3">
      <c r="A6" s="1"/>
      <c r="B6" s="1"/>
      <c r="C6" s="13">
        <v>2019</v>
      </c>
      <c r="D6" s="13">
        <f t="shared" si="0"/>
        <v>668357.33825846051</v>
      </c>
      <c r="E6" s="18">
        <f t="shared" si="1"/>
        <v>0.10461368918697664</v>
      </c>
      <c r="F6" s="19">
        <f t="shared" si="2"/>
        <v>6948260</v>
      </c>
      <c r="G6" s="20">
        <f t="shared" si="3"/>
        <v>-58525.773771841777</v>
      </c>
    </row>
    <row r="7" spans="1:8" x14ac:dyDescent="0.3">
      <c r="A7" s="1"/>
      <c r="B7" s="1"/>
      <c r="C7" s="13">
        <v>2020</v>
      </c>
      <c r="D7" s="13">
        <f t="shared" si="0"/>
        <v>727847.56930194376</v>
      </c>
      <c r="E7" s="18">
        <f t="shared" si="1"/>
        <v>0.10553369270379109</v>
      </c>
      <c r="F7" s="19">
        <f t="shared" si="2"/>
        <v>8042990</v>
      </c>
      <c r="G7" s="20">
        <f t="shared" si="3"/>
        <v>-120958.86577772093</v>
      </c>
    </row>
    <row r="8" spans="1:8" x14ac:dyDescent="0.3">
      <c r="A8" s="1"/>
      <c r="B8" s="1"/>
      <c r="C8" s="13">
        <v>2021</v>
      </c>
      <c r="D8" s="13">
        <f t="shared" si="0"/>
        <v>1000170.7610753503</v>
      </c>
      <c r="E8" s="18">
        <f t="shared" si="1"/>
        <v>0.12377878511942486</v>
      </c>
      <c r="F8" s="19">
        <f t="shared" si="2"/>
        <v>9708200</v>
      </c>
      <c r="G8" s="20">
        <f t="shared" si="3"/>
        <v>-201498.44062105019</v>
      </c>
    </row>
    <row r="9" spans="1:8" x14ac:dyDescent="0.3">
      <c r="A9" s="1"/>
      <c r="B9" s="1"/>
    </row>
    <row r="10" spans="1:8" x14ac:dyDescent="0.3">
      <c r="A10" s="1"/>
      <c r="B10" s="1"/>
    </row>
    <row r="11" spans="1:8" x14ac:dyDescent="0.3">
      <c r="A11" s="1"/>
      <c r="B11" s="1"/>
    </row>
    <row r="12" spans="1:8" x14ac:dyDescent="0.3">
      <c r="A12" s="1"/>
      <c r="B12" s="1"/>
    </row>
    <row r="14" spans="1:8" x14ac:dyDescent="0.3">
      <c r="A14" t="s">
        <v>1</v>
      </c>
      <c r="B14" t="s">
        <v>2</v>
      </c>
    </row>
    <row r="15" spans="1:8" ht="28.8" x14ac:dyDescent="0.3">
      <c r="C15" s="14" t="s">
        <v>3</v>
      </c>
      <c r="D15" s="14" t="s">
        <v>4</v>
      </c>
      <c r="E15" s="14" t="s">
        <v>5</v>
      </c>
      <c r="F15" s="14" t="s">
        <v>6</v>
      </c>
      <c r="G15" s="14" t="s">
        <v>7</v>
      </c>
      <c r="H15" s="14" t="s">
        <v>1</v>
      </c>
    </row>
    <row r="16" spans="1:8" x14ac:dyDescent="0.3">
      <c r="C16" s="10">
        <v>2017</v>
      </c>
      <c r="D16" s="11">
        <v>555290</v>
      </c>
      <c r="E16" s="11">
        <v>400340</v>
      </c>
      <c r="F16" s="11">
        <v>102010</v>
      </c>
      <c r="G16" s="12">
        <f>F16/E16</f>
        <v>0.25480841284907829</v>
      </c>
      <c r="H16" s="13">
        <f>D16*(1-G16)</f>
        <v>413797.43642903533</v>
      </c>
    </row>
    <row r="17" spans="1:8" x14ac:dyDescent="0.3">
      <c r="C17" s="10">
        <v>2018</v>
      </c>
      <c r="D17" s="11">
        <v>741840</v>
      </c>
      <c r="E17" s="11">
        <v>494260</v>
      </c>
      <c r="F17" s="11">
        <v>133460</v>
      </c>
      <c r="G17" s="12">
        <f t="shared" ref="G17:G20" si="4">F17/E17</f>
        <v>0.27001982762109011</v>
      </c>
      <c r="H17" s="13">
        <f t="shared" ref="H17:H20" si="5">D17*(1-G17)</f>
        <v>541528.49107757048</v>
      </c>
    </row>
    <row r="18" spans="1:8" x14ac:dyDescent="0.3">
      <c r="C18" s="10">
        <v>2019</v>
      </c>
      <c r="D18" s="11">
        <v>926560</v>
      </c>
      <c r="E18" s="11">
        <v>552270</v>
      </c>
      <c r="F18" s="11">
        <v>153900</v>
      </c>
      <c r="G18" s="12">
        <f t="shared" si="4"/>
        <v>0.27866804280514967</v>
      </c>
      <c r="H18" s="13">
        <f t="shared" si="5"/>
        <v>668357.33825846051</v>
      </c>
    </row>
    <row r="19" spans="1:8" x14ac:dyDescent="0.3">
      <c r="C19" s="10">
        <v>2020</v>
      </c>
      <c r="D19" s="11">
        <v>978360</v>
      </c>
      <c r="E19" s="11">
        <v>536060</v>
      </c>
      <c r="F19" s="11">
        <v>137260</v>
      </c>
      <c r="G19" s="12">
        <f t="shared" si="4"/>
        <v>0.25605342685520277</v>
      </c>
      <c r="H19" s="13">
        <f t="shared" si="5"/>
        <v>727847.56930194376</v>
      </c>
    </row>
    <row r="20" spans="1:8" x14ac:dyDescent="0.3">
      <c r="C20" s="10">
        <v>2021</v>
      </c>
      <c r="D20" s="11">
        <v>1032220</v>
      </c>
      <c r="E20" s="11">
        <v>554610</v>
      </c>
      <c r="F20" s="11">
        <v>17220</v>
      </c>
      <c r="G20" s="12">
        <f t="shared" si="4"/>
        <v>3.104884513441878E-2</v>
      </c>
      <c r="H20" s="13">
        <f t="shared" si="5"/>
        <v>1000170.7610753503</v>
      </c>
    </row>
    <row r="23" spans="1:8" x14ac:dyDescent="0.3">
      <c r="A23" s="1" t="s">
        <v>10</v>
      </c>
      <c r="B23" s="1" t="s">
        <v>11</v>
      </c>
    </row>
    <row r="24" spans="1:8" x14ac:dyDescent="0.3">
      <c r="C24" s="14" t="s">
        <v>3</v>
      </c>
      <c r="D24" s="14" t="s">
        <v>12</v>
      </c>
      <c r="E24" s="14" t="s">
        <v>13</v>
      </c>
      <c r="F24" s="14" t="s">
        <v>14</v>
      </c>
      <c r="G24" s="15" t="s">
        <v>87</v>
      </c>
      <c r="H24" s="15" t="s">
        <v>88</v>
      </c>
    </row>
    <row r="25" spans="1:8" x14ac:dyDescent="0.3">
      <c r="C25" s="10">
        <v>2017</v>
      </c>
      <c r="D25" s="11">
        <v>2637090</v>
      </c>
      <c r="E25" s="11">
        <v>2174750</v>
      </c>
      <c r="F25" s="11">
        <f>D25+E25</f>
        <v>4811840</v>
      </c>
      <c r="G25" s="13">
        <f>D25/F25</f>
        <v>0.54804191328057461</v>
      </c>
      <c r="H25" s="13">
        <f>E25/F25</f>
        <v>0.45195808671942544</v>
      </c>
    </row>
    <row r="26" spans="1:8" x14ac:dyDescent="0.3">
      <c r="C26" s="10">
        <v>2018</v>
      </c>
      <c r="D26" s="11">
        <v>2935060</v>
      </c>
      <c r="E26" s="11">
        <v>2398430</v>
      </c>
      <c r="F26" s="11">
        <f t="shared" ref="F26:F29" si="6">D26+E26</f>
        <v>5333490</v>
      </c>
      <c r="G26" s="13">
        <f t="shared" ref="G26:G29" si="7">D26/F26</f>
        <v>0.55030758471469898</v>
      </c>
      <c r="H26" s="13">
        <f t="shared" ref="H26:H29" si="8">E26/F26</f>
        <v>0.44969241528530102</v>
      </c>
    </row>
    <row r="27" spans="1:8" x14ac:dyDescent="0.3">
      <c r="C27" s="10">
        <v>2019</v>
      </c>
      <c r="D27" s="11">
        <v>3871120</v>
      </c>
      <c r="E27" s="11">
        <v>3077140</v>
      </c>
      <c r="F27" s="11">
        <f t="shared" si="6"/>
        <v>6948260</v>
      </c>
      <c r="G27" s="13">
        <f t="shared" si="7"/>
        <v>0.55713516765348448</v>
      </c>
      <c r="H27" s="13">
        <f t="shared" si="8"/>
        <v>0.44286483234651552</v>
      </c>
    </row>
    <row r="28" spans="1:8" x14ac:dyDescent="0.3">
      <c r="C28" s="10">
        <v>2020</v>
      </c>
      <c r="D28" s="11">
        <v>4491660</v>
      </c>
      <c r="E28" s="11">
        <v>3551330</v>
      </c>
      <c r="F28" s="11">
        <f t="shared" si="6"/>
        <v>8042990</v>
      </c>
      <c r="G28" s="13">
        <f t="shared" si="7"/>
        <v>0.55845649441314738</v>
      </c>
      <c r="H28" s="13">
        <f t="shared" si="8"/>
        <v>0.44154350558685262</v>
      </c>
    </row>
    <row r="29" spans="1:8" x14ac:dyDescent="0.3">
      <c r="C29" s="10">
        <v>2021</v>
      </c>
      <c r="D29" s="11">
        <v>7001720</v>
      </c>
      <c r="E29" s="11">
        <v>2706480</v>
      </c>
      <c r="F29" s="11">
        <f t="shared" si="6"/>
        <v>9708200</v>
      </c>
      <c r="G29" s="13">
        <f t="shared" si="7"/>
        <v>0.72121711542819478</v>
      </c>
      <c r="H29" s="13">
        <f t="shared" si="8"/>
        <v>0.27878288457180528</v>
      </c>
    </row>
    <row r="31" spans="1:8" x14ac:dyDescent="0.3">
      <c r="A31" s="1" t="s">
        <v>8</v>
      </c>
      <c r="B31" s="1" t="s">
        <v>89</v>
      </c>
    </row>
    <row r="33" spans="1:5" x14ac:dyDescent="0.3">
      <c r="A33" t="s">
        <v>15</v>
      </c>
      <c r="B33" s="4">
        <v>7.22E-2</v>
      </c>
      <c r="D33" s="17" t="s">
        <v>90</v>
      </c>
      <c r="E33" s="17" t="s">
        <v>8</v>
      </c>
    </row>
    <row r="34" spans="1:5" x14ac:dyDescent="0.3">
      <c r="A34" t="s">
        <v>16</v>
      </c>
      <c r="B34" s="4">
        <v>8.9999999999999993E-3</v>
      </c>
      <c r="D34" s="13">
        <v>2017</v>
      </c>
      <c r="E34" s="16">
        <f>(G25*$B$38)+(H25*$B$35*(1-G16))</f>
        <v>0.10473784901838733</v>
      </c>
    </row>
    <row r="35" spans="1:5" x14ac:dyDescent="0.3">
      <c r="A35" t="s">
        <v>17</v>
      </c>
      <c r="B35" s="4">
        <f>B33+B34</f>
        <v>8.1199999999999994E-2</v>
      </c>
      <c r="D35" s="13">
        <v>2018</v>
      </c>
      <c r="E35" s="16">
        <f t="shared" ref="E35:E38" si="9">(G26*$B$38)+(H26*$B$35*(1-G17))</f>
        <v>0.10436524894042733</v>
      </c>
    </row>
    <row r="36" spans="1:5" x14ac:dyDescent="0.3">
      <c r="A36" t="s">
        <v>84</v>
      </c>
      <c r="B36" s="4">
        <v>6.4199999999999993E-2</v>
      </c>
      <c r="D36" s="13">
        <v>2019</v>
      </c>
      <c r="E36" s="16">
        <f t="shared" si="9"/>
        <v>0.10461368918697664</v>
      </c>
    </row>
    <row r="37" spans="1:5" x14ac:dyDescent="0.3">
      <c r="A37" t="s">
        <v>86</v>
      </c>
      <c r="B37" s="9">
        <f>BETA!F3</f>
        <v>1.0749524412826692</v>
      </c>
      <c r="D37" s="13">
        <v>2020</v>
      </c>
      <c r="E37" s="16">
        <f t="shared" si="9"/>
        <v>0.10553369270379109</v>
      </c>
    </row>
    <row r="38" spans="1:5" x14ac:dyDescent="0.3">
      <c r="A38" t="s">
        <v>85</v>
      </c>
      <c r="B38" s="8">
        <f>B33+(B37*B36)</f>
        <v>0.14121194673034737</v>
      </c>
      <c r="D38" s="13">
        <v>2021</v>
      </c>
      <c r="E38" s="16">
        <f t="shared" si="9"/>
        <v>0.12377878511942486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F57C4-F615-4DD4-A919-01938D320ABD}">
  <dimension ref="A1:F65"/>
  <sheetViews>
    <sheetView workbookViewId="0">
      <selection activeCell="F3" sqref="F3"/>
    </sheetView>
  </sheetViews>
  <sheetFormatPr defaultRowHeight="14.4" x14ac:dyDescent="0.3"/>
  <cols>
    <col min="1" max="1" width="10.5546875" bestFit="1" customWidth="1"/>
    <col min="2" max="3" width="9" bestFit="1" customWidth="1"/>
    <col min="4" max="4" width="10.77734375" customWidth="1"/>
  </cols>
  <sheetData>
    <row r="1" spans="1:6" x14ac:dyDescent="0.3">
      <c r="A1" t="s">
        <v>18</v>
      </c>
      <c r="B1" t="s">
        <v>19</v>
      </c>
      <c r="C1" t="s">
        <v>20</v>
      </c>
      <c r="D1" s="2" t="s">
        <v>81</v>
      </c>
      <c r="E1" s="2" t="s">
        <v>82</v>
      </c>
      <c r="F1" s="1" t="s">
        <v>83</v>
      </c>
    </row>
    <row r="2" spans="1:6" x14ac:dyDescent="0.3">
      <c r="A2" t="s">
        <v>21</v>
      </c>
      <c r="B2">
        <v>504.43849999999998</v>
      </c>
      <c r="C2">
        <v>8561.2999999999993</v>
      </c>
      <c r="D2" s="3"/>
      <c r="E2" s="5"/>
    </row>
    <row r="3" spans="1:6" x14ac:dyDescent="0.3">
      <c r="A3" t="s">
        <v>22</v>
      </c>
      <c r="B3">
        <v>597.51250000000005</v>
      </c>
      <c r="C3">
        <v>8879.6</v>
      </c>
      <c r="D3" s="6">
        <f>LN(B3/B2)</f>
        <v>0.1693292746001557</v>
      </c>
      <c r="E3" s="7">
        <f>LN(C3/C2)</f>
        <v>3.6504463162899389E-2</v>
      </c>
      <c r="F3">
        <f>SLOPE(D3:D65,E3:E65)</f>
        <v>1.0749524412826692</v>
      </c>
    </row>
    <row r="4" spans="1:6" x14ac:dyDescent="0.3">
      <c r="A4" t="s">
        <v>23</v>
      </c>
      <c r="B4">
        <v>637.49789999999996</v>
      </c>
      <c r="C4">
        <v>9173.75</v>
      </c>
      <c r="D4" s="6">
        <f t="shared" ref="D4:D65" si="0">LN(B4/B3)</f>
        <v>6.477577882058122E-2</v>
      </c>
      <c r="E4" s="7">
        <f t="shared" ref="E4:E65" si="1">LN(C4/C3)</f>
        <v>3.2589633932660345E-2</v>
      </c>
    </row>
    <row r="5" spans="1:6" x14ac:dyDescent="0.3">
      <c r="A5" t="s">
        <v>24</v>
      </c>
      <c r="B5">
        <v>673.3569</v>
      </c>
      <c r="C5">
        <v>9304.0499999999993</v>
      </c>
      <c r="D5" s="6">
        <f t="shared" si="0"/>
        <v>5.4724518205146636E-2</v>
      </c>
      <c r="E5" s="7">
        <f t="shared" si="1"/>
        <v>1.4103644357461732E-2</v>
      </c>
    </row>
    <row r="6" spans="1:6" x14ac:dyDescent="0.3">
      <c r="A6" t="s">
        <v>25</v>
      </c>
      <c r="B6">
        <v>647.0539</v>
      </c>
      <c r="C6">
        <v>9621.25</v>
      </c>
      <c r="D6" s="6">
        <f t="shared" si="0"/>
        <v>-3.9845902510221916E-2</v>
      </c>
      <c r="E6" s="7">
        <f t="shared" si="1"/>
        <v>3.3524404631792751E-2</v>
      </c>
    </row>
    <row r="7" spans="1:6" x14ac:dyDescent="0.3">
      <c r="A7" t="s">
        <v>26</v>
      </c>
      <c r="B7">
        <v>666.02099999999996</v>
      </c>
      <c r="C7">
        <v>9520.9</v>
      </c>
      <c r="D7" s="6">
        <f t="shared" si="0"/>
        <v>2.8891602970379154E-2</v>
      </c>
      <c r="E7" s="7">
        <f t="shared" si="1"/>
        <v>-1.0484811716407845E-2</v>
      </c>
    </row>
    <row r="8" spans="1:6" x14ac:dyDescent="0.3">
      <c r="A8" t="s">
        <v>27</v>
      </c>
      <c r="B8">
        <v>779.53420000000006</v>
      </c>
      <c r="C8">
        <v>10077.1</v>
      </c>
      <c r="D8" s="6">
        <f t="shared" si="0"/>
        <v>0.15737536023895463</v>
      </c>
      <c r="E8" s="7">
        <f t="shared" si="1"/>
        <v>5.6776140687414073E-2</v>
      </c>
    </row>
    <row r="9" spans="1:6" x14ac:dyDescent="0.3">
      <c r="A9" t="s">
        <v>28</v>
      </c>
      <c r="B9">
        <v>775.18679999999995</v>
      </c>
      <c r="C9">
        <v>9917.9</v>
      </c>
      <c r="D9" s="6">
        <f t="shared" si="0"/>
        <v>-5.5925292459632564E-3</v>
      </c>
      <c r="E9" s="7">
        <f t="shared" si="1"/>
        <v>-1.5924317499244247E-2</v>
      </c>
    </row>
    <row r="10" spans="1:6" x14ac:dyDescent="0.3">
      <c r="A10" t="s">
        <v>29</v>
      </c>
      <c r="B10">
        <v>759.28920000000005</v>
      </c>
      <c r="C10">
        <v>9788.6</v>
      </c>
      <c r="D10" s="6">
        <f t="shared" si="0"/>
        <v>-2.072130007679715E-2</v>
      </c>
      <c r="E10" s="7">
        <f t="shared" si="1"/>
        <v>-1.3122762085997719E-2</v>
      </c>
    </row>
    <row r="11" spans="1:6" x14ac:dyDescent="0.3">
      <c r="A11" t="s">
        <v>30</v>
      </c>
      <c r="B11">
        <v>914.81280000000004</v>
      </c>
      <c r="C11">
        <v>10335.299999999999</v>
      </c>
      <c r="D11" s="6">
        <f t="shared" si="0"/>
        <v>0.18633672168915782</v>
      </c>
      <c r="E11" s="7">
        <f t="shared" si="1"/>
        <v>5.4346777036482358E-2</v>
      </c>
    </row>
    <row r="12" spans="1:6" x14ac:dyDescent="0.3">
      <c r="A12" t="s">
        <v>31</v>
      </c>
      <c r="B12">
        <v>896.04690000000005</v>
      </c>
      <c r="C12">
        <v>10226.549999999999</v>
      </c>
      <c r="D12" s="6">
        <f t="shared" si="0"/>
        <v>-2.0726698825120106E-2</v>
      </c>
      <c r="E12" s="7">
        <f t="shared" si="1"/>
        <v>-1.0577940606205967E-2</v>
      </c>
    </row>
    <row r="13" spans="1:6" x14ac:dyDescent="0.3">
      <c r="A13" t="s">
        <v>32</v>
      </c>
      <c r="B13">
        <v>895.5607</v>
      </c>
      <c r="C13">
        <v>10530.7</v>
      </c>
      <c r="D13" s="6">
        <f t="shared" si="0"/>
        <v>-5.4275279021534116E-4</v>
      </c>
      <c r="E13" s="7">
        <f t="shared" si="1"/>
        <v>2.9307520987116552E-2</v>
      </c>
    </row>
    <row r="14" spans="1:6" x14ac:dyDescent="0.3">
      <c r="A14" t="s">
        <v>33</v>
      </c>
      <c r="B14">
        <v>934.69680000000005</v>
      </c>
      <c r="C14">
        <v>11027.7</v>
      </c>
      <c r="D14" s="6">
        <f t="shared" si="0"/>
        <v>4.2772196059487545E-2</v>
      </c>
      <c r="E14" s="7">
        <f t="shared" si="1"/>
        <v>4.6115488639935788E-2</v>
      </c>
    </row>
    <row r="15" spans="1:6" x14ac:dyDescent="0.3">
      <c r="A15" t="s">
        <v>34</v>
      </c>
      <c r="B15">
        <v>928.13369999999998</v>
      </c>
      <c r="C15">
        <v>10492.85</v>
      </c>
      <c r="D15" s="6">
        <f t="shared" si="0"/>
        <v>-7.0464029398114537E-3</v>
      </c>
      <c r="E15" s="7">
        <f t="shared" si="1"/>
        <v>-4.9716216480335897E-2</v>
      </c>
    </row>
    <row r="16" spans="1:6" x14ac:dyDescent="0.3">
      <c r="A16" t="s">
        <v>35</v>
      </c>
      <c r="B16">
        <v>858.27200000000005</v>
      </c>
      <c r="C16">
        <v>10113.700000000001</v>
      </c>
      <c r="D16" s="6">
        <f t="shared" si="0"/>
        <v>-7.82547301185815E-2</v>
      </c>
      <c r="E16" s="7">
        <f t="shared" si="1"/>
        <v>-3.6803132466132177E-2</v>
      </c>
    </row>
    <row r="17" spans="1:5" x14ac:dyDescent="0.3">
      <c r="A17" t="s">
        <v>36</v>
      </c>
      <c r="B17">
        <v>936.64139999999998</v>
      </c>
      <c r="C17">
        <v>10739.35</v>
      </c>
      <c r="D17" s="6">
        <f t="shared" si="0"/>
        <v>8.7379432640956045E-2</v>
      </c>
      <c r="E17" s="7">
        <f t="shared" si="1"/>
        <v>6.0023625470938723E-2</v>
      </c>
    </row>
    <row r="18" spans="1:5" x14ac:dyDescent="0.3">
      <c r="A18" t="s">
        <v>37</v>
      </c>
      <c r="B18">
        <v>895.85239999999999</v>
      </c>
      <c r="C18">
        <v>10736.15</v>
      </c>
      <c r="D18" s="6">
        <f t="shared" si="0"/>
        <v>-4.4524830944635906E-2</v>
      </c>
      <c r="E18" s="7">
        <f t="shared" si="1"/>
        <v>-2.9801401817733191E-4</v>
      </c>
    </row>
    <row r="19" spans="1:5" x14ac:dyDescent="0.3">
      <c r="A19" t="s">
        <v>38</v>
      </c>
      <c r="B19">
        <v>945.53830000000005</v>
      </c>
      <c r="C19">
        <v>10714.3</v>
      </c>
      <c r="D19" s="6">
        <f t="shared" si="0"/>
        <v>5.3978727683755834E-2</v>
      </c>
      <c r="E19" s="7">
        <f t="shared" si="1"/>
        <v>-2.0372540023350012E-3</v>
      </c>
    </row>
    <row r="20" spans="1:5" x14ac:dyDescent="0.3">
      <c r="A20" t="s">
        <v>39</v>
      </c>
      <c r="B20">
        <v>1160.29</v>
      </c>
      <c r="C20">
        <v>11356.5</v>
      </c>
      <c r="D20" s="6">
        <f t="shared" si="0"/>
        <v>0.2046708579096182</v>
      </c>
      <c r="E20" s="7">
        <f t="shared" si="1"/>
        <v>5.8210969415892495E-2</v>
      </c>
    </row>
    <row r="21" spans="1:5" x14ac:dyDescent="0.3">
      <c r="A21" t="s">
        <v>40</v>
      </c>
      <c r="B21">
        <v>1214.7339999999999</v>
      </c>
      <c r="C21">
        <v>11680.5</v>
      </c>
      <c r="D21" s="6">
        <f t="shared" si="0"/>
        <v>4.5855148909199048E-2</v>
      </c>
      <c r="E21" s="7">
        <f t="shared" si="1"/>
        <v>2.8130517473679395E-2</v>
      </c>
    </row>
    <row r="22" spans="1:5" x14ac:dyDescent="0.3">
      <c r="A22" t="s">
        <v>41</v>
      </c>
      <c r="B22">
        <v>1230.68</v>
      </c>
      <c r="C22">
        <v>10930.45</v>
      </c>
      <c r="D22" s="6">
        <f t="shared" si="0"/>
        <v>1.3041739367312906E-2</v>
      </c>
      <c r="E22" s="7">
        <f t="shared" si="1"/>
        <v>-6.6368312273325625E-2</v>
      </c>
    </row>
    <row r="23" spans="1:5" x14ac:dyDescent="0.3">
      <c r="A23" t="s">
        <v>42</v>
      </c>
      <c r="B23">
        <v>1038.2439999999999</v>
      </c>
      <c r="C23">
        <v>10386.6</v>
      </c>
      <c r="D23" s="6">
        <f t="shared" si="0"/>
        <v>-0.17003603759293728</v>
      </c>
      <c r="E23" s="7">
        <f t="shared" si="1"/>
        <v>-5.1035958601085972E-2</v>
      </c>
    </row>
    <row r="24" spans="1:5" x14ac:dyDescent="0.3">
      <c r="A24" t="s">
        <v>43</v>
      </c>
      <c r="B24">
        <v>1142.24</v>
      </c>
      <c r="C24">
        <v>10876.75</v>
      </c>
      <c r="D24" s="6">
        <f t="shared" si="0"/>
        <v>9.5460422214958082E-2</v>
      </c>
      <c r="E24" s="7">
        <f t="shared" si="1"/>
        <v>4.6110969740215467E-2</v>
      </c>
    </row>
    <row r="25" spans="1:5" x14ac:dyDescent="0.3">
      <c r="A25" t="s">
        <v>44</v>
      </c>
      <c r="B25">
        <v>1096.944</v>
      </c>
      <c r="C25">
        <v>10862.55</v>
      </c>
      <c r="D25" s="6">
        <f t="shared" si="0"/>
        <v>-4.0463115095512259E-2</v>
      </c>
      <c r="E25" s="7">
        <f t="shared" si="1"/>
        <v>-1.3063899959558677E-3</v>
      </c>
    </row>
    <row r="26" spans="1:5" x14ac:dyDescent="0.3">
      <c r="A26" t="s">
        <v>45</v>
      </c>
      <c r="B26">
        <v>1200.548</v>
      </c>
      <c r="C26">
        <v>10830.95</v>
      </c>
      <c r="D26" s="6">
        <f t="shared" si="0"/>
        <v>9.0249987543632157E-2</v>
      </c>
      <c r="E26" s="7">
        <f t="shared" si="1"/>
        <v>-2.9133171088290828E-3</v>
      </c>
    </row>
    <row r="27" spans="1:5" x14ac:dyDescent="0.3">
      <c r="A27" t="s">
        <v>46</v>
      </c>
      <c r="B27">
        <v>1204.3630000000001</v>
      </c>
      <c r="C27">
        <v>10792.5</v>
      </c>
      <c r="D27" s="6">
        <f t="shared" si="0"/>
        <v>3.1726772426178686E-3</v>
      </c>
      <c r="E27" s="7">
        <f t="shared" si="1"/>
        <v>-3.5563280165367825E-3</v>
      </c>
    </row>
    <row r="28" spans="1:5" x14ac:dyDescent="0.3">
      <c r="A28" t="s">
        <v>47</v>
      </c>
      <c r="B28">
        <v>1333.6980000000001</v>
      </c>
      <c r="C28">
        <v>11623.9</v>
      </c>
      <c r="D28" s="6">
        <f t="shared" si="0"/>
        <v>0.10200473859472287</v>
      </c>
      <c r="E28" s="7">
        <f t="shared" si="1"/>
        <v>7.421187489290984E-2</v>
      </c>
    </row>
    <row r="29" spans="1:5" x14ac:dyDescent="0.3">
      <c r="A29" t="s">
        <v>48</v>
      </c>
      <c r="B29">
        <v>1362.607</v>
      </c>
      <c r="C29">
        <v>11748.15</v>
      </c>
      <c r="D29" s="6">
        <f t="shared" si="0"/>
        <v>2.1444241524394923E-2</v>
      </c>
      <c r="E29" s="7">
        <f t="shared" si="1"/>
        <v>1.063245804520186E-2</v>
      </c>
    </row>
    <row r="30" spans="1:5" x14ac:dyDescent="0.3">
      <c r="A30" t="s">
        <v>49</v>
      </c>
      <c r="B30">
        <v>1301.3150000000001</v>
      </c>
      <c r="C30">
        <v>11922.8</v>
      </c>
      <c r="D30" s="6">
        <f t="shared" si="0"/>
        <v>-4.6024484913125156E-2</v>
      </c>
      <c r="E30" s="7">
        <f t="shared" si="1"/>
        <v>1.4756751995927516E-2</v>
      </c>
    </row>
    <row r="31" spans="1:5" x14ac:dyDescent="0.3">
      <c r="A31" t="s">
        <v>50</v>
      </c>
      <c r="B31">
        <v>1225.9349999999999</v>
      </c>
      <c r="C31">
        <v>11788.85</v>
      </c>
      <c r="D31" s="6">
        <f t="shared" si="0"/>
        <v>-5.9671473504760299E-2</v>
      </c>
      <c r="E31" s="7">
        <f t="shared" si="1"/>
        <v>-1.129836387799864E-2</v>
      </c>
    </row>
    <row r="32" spans="1:5" x14ac:dyDescent="0.3">
      <c r="A32" t="s">
        <v>51</v>
      </c>
      <c r="B32">
        <v>1140.9680000000001</v>
      </c>
      <c r="C32">
        <v>11118</v>
      </c>
      <c r="D32" s="6">
        <f t="shared" si="0"/>
        <v>-7.1826793251387244E-2</v>
      </c>
      <c r="E32" s="7">
        <f t="shared" si="1"/>
        <v>-5.8588752972258552E-2</v>
      </c>
    </row>
    <row r="33" spans="1:5" x14ac:dyDescent="0.3">
      <c r="A33" t="s">
        <v>52</v>
      </c>
      <c r="B33">
        <v>1221.4839999999999</v>
      </c>
      <c r="C33">
        <v>11023.25</v>
      </c>
      <c r="D33" s="6">
        <f t="shared" si="0"/>
        <v>6.8189488068071791E-2</v>
      </c>
      <c r="E33" s="7">
        <f t="shared" si="1"/>
        <v>-8.5587379560631283E-3</v>
      </c>
    </row>
    <row r="34" spans="1:5" x14ac:dyDescent="0.3">
      <c r="A34" t="s">
        <v>53</v>
      </c>
      <c r="B34">
        <v>1310.587</v>
      </c>
      <c r="C34">
        <v>11474.45</v>
      </c>
      <c r="D34" s="6">
        <f t="shared" si="0"/>
        <v>7.0408615472383168E-2</v>
      </c>
      <c r="E34" s="7">
        <f t="shared" si="1"/>
        <v>4.0116145939477182E-2</v>
      </c>
    </row>
    <row r="35" spans="1:5" x14ac:dyDescent="0.3">
      <c r="A35" t="s">
        <v>54</v>
      </c>
      <c r="B35">
        <v>1440.539</v>
      </c>
      <c r="C35">
        <v>11877.45</v>
      </c>
      <c r="D35" s="6">
        <f t="shared" si="0"/>
        <v>9.4542220655564724E-2</v>
      </c>
      <c r="E35" s="7">
        <f t="shared" si="1"/>
        <v>3.4518819915311243E-2</v>
      </c>
    </row>
    <row r="36" spans="1:5" x14ac:dyDescent="0.3">
      <c r="A36" t="s">
        <v>55</v>
      </c>
      <c r="B36">
        <v>1525.9280000000001</v>
      </c>
      <c r="C36">
        <v>12056.05</v>
      </c>
      <c r="D36" s="6">
        <f t="shared" si="0"/>
        <v>5.7585400464912936E-2</v>
      </c>
      <c r="E36" s="7">
        <f t="shared" si="1"/>
        <v>1.4924964198132653E-2</v>
      </c>
    </row>
    <row r="37" spans="1:5" x14ac:dyDescent="0.3">
      <c r="A37" t="s">
        <v>56</v>
      </c>
      <c r="B37">
        <v>1489.431</v>
      </c>
      <c r="C37">
        <v>12168.45</v>
      </c>
      <c r="D37" s="6">
        <f t="shared" si="0"/>
        <v>-2.4208581745220354E-2</v>
      </c>
      <c r="E37" s="7">
        <f t="shared" si="1"/>
        <v>9.2799278935504128E-3</v>
      </c>
    </row>
    <row r="38" spans="1:5" x14ac:dyDescent="0.3">
      <c r="A38" t="s">
        <v>57</v>
      </c>
      <c r="B38">
        <v>1388.6959999999999</v>
      </c>
      <c r="C38">
        <v>11962.1</v>
      </c>
      <c r="D38" s="6">
        <f t="shared" si="0"/>
        <v>-7.002899050099276E-2</v>
      </c>
      <c r="E38" s="7">
        <f t="shared" si="1"/>
        <v>-1.7103218128211195E-2</v>
      </c>
    </row>
    <row r="39" spans="1:5" x14ac:dyDescent="0.3">
      <c r="A39" t="s">
        <v>58</v>
      </c>
      <c r="B39">
        <v>1307.046</v>
      </c>
      <c r="C39">
        <v>11201.75</v>
      </c>
      <c r="D39" s="6">
        <f t="shared" si="0"/>
        <v>-6.0595548201274038E-2</v>
      </c>
      <c r="E39" s="7">
        <f t="shared" si="1"/>
        <v>-6.5673302298185771E-2</v>
      </c>
    </row>
    <row r="40" spans="1:5" x14ac:dyDescent="0.3">
      <c r="A40" t="s">
        <v>59</v>
      </c>
      <c r="B40">
        <v>1095.6400000000001</v>
      </c>
      <c r="C40">
        <v>8597.75</v>
      </c>
      <c r="D40" s="6">
        <f t="shared" si="0"/>
        <v>-0.17643096171065373</v>
      </c>
      <c r="E40" s="7">
        <f t="shared" si="1"/>
        <v>-0.2645694749733552</v>
      </c>
    </row>
    <row r="41" spans="1:5" x14ac:dyDescent="0.3">
      <c r="A41" t="s">
        <v>60</v>
      </c>
      <c r="B41">
        <v>1442.162</v>
      </c>
      <c r="C41">
        <v>9859.9</v>
      </c>
      <c r="D41" s="6">
        <f t="shared" si="0"/>
        <v>0.27480470910397131</v>
      </c>
      <c r="E41" s="7">
        <f t="shared" si="1"/>
        <v>0.13697548545335014</v>
      </c>
    </row>
    <row r="42" spans="1:5" x14ac:dyDescent="0.3">
      <c r="A42" t="s">
        <v>61</v>
      </c>
      <c r="B42">
        <v>1454.2439999999999</v>
      </c>
      <c r="C42">
        <v>9580.2999999999993</v>
      </c>
      <c r="D42" s="6">
        <f t="shared" si="0"/>
        <v>8.3428014428021616E-3</v>
      </c>
      <c r="E42" s="7">
        <f t="shared" si="1"/>
        <v>-2.8767119842743365E-2</v>
      </c>
    </row>
    <row r="43" spans="1:5" x14ac:dyDescent="0.3">
      <c r="A43" t="s">
        <v>62</v>
      </c>
      <c r="B43">
        <v>1692.2809999999999</v>
      </c>
      <c r="C43">
        <v>10302.1</v>
      </c>
      <c r="D43" s="6">
        <f t="shared" si="0"/>
        <v>0.15159114508295388</v>
      </c>
      <c r="E43" s="7">
        <f t="shared" si="1"/>
        <v>7.2638851216779918E-2</v>
      </c>
    </row>
    <row r="44" spans="1:5" x14ac:dyDescent="0.3">
      <c r="A44" t="s">
        <v>63</v>
      </c>
      <c r="B44">
        <v>2052.7640000000001</v>
      </c>
      <c r="C44">
        <v>11073.45</v>
      </c>
      <c r="D44" s="6">
        <f t="shared" si="0"/>
        <v>0.1931098546577408</v>
      </c>
      <c r="E44" s="7">
        <f t="shared" si="1"/>
        <v>7.2202593334011245E-2</v>
      </c>
    </row>
    <row r="45" spans="1:5" x14ac:dyDescent="0.3">
      <c r="A45" t="s">
        <v>64</v>
      </c>
      <c r="B45">
        <v>2074.0279999999998</v>
      </c>
      <c r="C45">
        <v>11387.5</v>
      </c>
      <c r="D45" s="6">
        <f t="shared" si="0"/>
        <v>1.0305432495508632E-2</v>
      </c>
      <c r="E45" s="7">
        <f t="shared" si="1"/>
        <v>2.7965911302744725E-2</v>
      </c>
    </row>
    <row r="46" spans="1:5" x14ac:dyDescent="0.3">
      <c r="A46" t="s">
        <v>65</v>
      </c>
      <c r="B46">
        <v>2227.1849999999999</v>
      </c>
      <c r="C46">
        <v>11247.55</v>
      </c>
      <c r="D46" s="6">
        <f t="shared" si="0"/>
        <v>7.1245846023125753E-2</v>
      </c>
      <c r="E46" s="7">
        <f t="shared" si="1"/>
        <v>-1.2365935430449034E-2</v>
      </c>
    </row>
    <row r="47" spans="1:5" x14ac:dyDescent="0.3">
      <c r="A47" t="s">
        <v>66</v>
      </c>
      <c r="B47">
        <v>2047.912</v>
      </c>
      <c r="C47">
        <v>11642.4</v>
      </c>
      <c r="D47" s="6">
        <f t="shared" si="0"/>
        <v>-8.3917718717412479E-2</v>
      </c>
      <c r="E47" s="7">
        <f t="shared" si="1"/>
        <v>3.450327946135176E-2</v>
      </c>
    </row>
    <row r="48" spans="1:5" x14ac:dyDescent="0.3">
      <c r="A48" t="s">
        <v>67</v>
      </c>
      <c r="B48">
        <v>1923.6120000000001</v>
      </c>
      <c r="C48">
        <v>12968.95</v>
      </c>
      <c r="D48" s="6">
        <f t="shared" si="0"/>
        <v>-6.2616068798984195E-2</v>
      </c>
      <c r="E48" s="7">
        <f t="shared" si="1"/>
        <v>0.1079044323818265</v>
      </c>
    </row>
    <row r="49" spans="1:5" x14ac:dyDescent="0.3">
      <c r="A49" t="s">
        <v>68</v>
      </c>
      <c r="B49">
        <v>1978.934</v>
      </c>
      <c r="C49">
        <v>13981.75</v>
      </c>
      <c r="D49" s="6">
        <f t="shared" si="0"/>
        <v>2.835364718234807E-2</v>
      </c>
      <c r="E49" s="7">
        <f t="shared" si="1"/>
        <v>7.5194868799538406E-2</v>
      </c>
    </row>
    <row r="50" spans="1:5" x14ac:dyDescent="0.3">
      <c r="A50" t="s">
        <v>69</v>
      </c>
      <c r="B50">
        <v>1836.0440000000001</v>
      </c>
      <c r="C50">
        <v>13634.6</v>
      </c>
      <c r="D50" s="6">
        <f t="shared" si="0"/>
        <v>-7.4945058834690603E-2</v>
      </c>
      <c r="E50" s="7">
        <f t="shared" si="1"/>
        <v>-2.5142228198069005E-2</v>
      </c>
    </row>
    <row r="51" spans="1:5" x14ac:dyDescent="0.3">
      <c r="A51" t="s">
        <v>70</v>
      </c>
      <c r="B51">
        <v>2079.1120000000001</v>
      </c>
      <c r="C51">
        <v>14529.15</v>
      </c>
      <c r="D51" s="6">
        <f t="shared" si="0"/>
        <v>0.12432762242594937</v>
      </c>
      <c r="E51" s="7">
        <f t="shared" si="1"/>
        <v>6.3546296614860345E-2</v>
      </c>
    </row>
    <row r="52" spans="1:5" x14ac:dyDescent="0.3">
      <c r="A52" t="s">
        <v>71</v>
      </c>
      <c r="B52">
        <v>1996.6769999999999</v>
      </c>
      <c r="C52">
        <v>14690.7</v>
      </c>
      <c r="D52" s="6">
        <f t="shared" si="0"/>
        <v>-4.0456580740690917E-2</v>
      </c>
      <c r="E52" s="7">
        <f t="shared" si="1"/>
        <v>1.1057664298936155E-2</v>
      </c>
    </row>
    <row r="53" spans="1:5" x14ac:dyDescent="0.3">
      <c r="A53" t="s">
        <v>72</v>
      </c>
      <c r="B53">
        <v>1988.104</v>
      </c>
      <c r="C53">
        <v>14631.1</v>
      </c>
      <c r="D53" s="6">
        <f t="shared" si="0"/>
        <v>-4.3028779886513597E-3</v>
      </c>
      <c r="E53" s="7">
        <f t="shared" si="1"/>
        <v>-4.0652403385876409E-3</v>
      </c>
    </row>
    <row r="54" spans="1:5" x14ac:dyDescent="0.3">
      <c r="A54" t="s">
        <v>73</v>
      </c>
      <c r="B54">
        <v>2153.373</v>
      </c>
      <c r="C54">
        <v>15582.8</v>
      </c>
      <c r="D54" s="6">
        <f t="shared" si="0"/>
        <v>7.9854029260008244E-2</v>
      </c>
      <c r="E54" s="7">
        <f t="shared" si="1"/>
        <v>6.3018341706496755E-2</v>
      </c>
    </row>
    <row r="55" spans="1:5" x14ac:dyDescent="0.3">
      <c r="A55" t="s">
        <v>74</v>
      </c>
      <c r="B55">
        <v>2103.8820000000001</v>
      </c>
      <c r="C55">
        <v>15721.5</v>
      </c>
      <c r="D55" s="6">
        <f t="shared" si="0"/>
        <v>-2.3251240356840248E-2</v>
      </c>
      <c r="E55" s="7">
        <f t="shared" si="1"/>
        <v>8.8614604142238061E-3</v>
      </c>
    </row>
    <row r="56" spans="1:5" x14ac:dyDescent="0.3">
      <c r="A56" t="s">
        <v>75</v>
      </c>
      <c r="B56">
        <v>2035.3</v>
      </c>
      <c r="C56">
        <v>15763.05</v>
      </c>
      <c r="D56" s="6">
        <f t="shared" si="0"/>
        <v>-3.314098147583025E-2</v>
      </c>
      <c r="E56" s="7">
        <f t="shared" si="1"/>
        <v>2.6393913281980434E-3</v>
      </c>
    </row>
    <row r="57" spans="1:5" x14ac:dyDescent="0.3">
      <c r="A57" t="s">
        <v>76</v>
      </c>
      <c r="B57">
        <v>2258.15</v>
      </c>
      <c r="C57">
        <v>17132.2</v>
      </c>
      <c r="D57" s="6">
        <f t="shared" si="0"/>
        <v>0.10390266581380996</v>
      </c>
      <c r="E57" s="7">
        <f t="shared" si="1"/>
        <v>8.3291140120818716E-2</v>
      </c>
    </row>
    <row r="58" spans="1:5" x14ac:dyDescent="0.3">
      <c r="A58" t="s">
        <v>77</v>
      </c>
      <c r="B58">
        <v>2519.25</v>
      </c>
      <c r="C58">
        <v>17618.150000000001</v>
      </c>
      <c r="D58" s="6">
        <f t="shared" si="0"/>
        <v>0.1094153441878684</v>
      </c>
      <c r="E58" s="7">
        <f t="shared" si="1"/>
        <v>2.7969886925890988E-2</v>
      </c>
    </row>
    <row r="59" spans="1:5" x14ac:dyDescent="0.3">
      <c r="A59" t="s">
        <v>78</v>
      </c>
      <c r="B59">
        <v>2536.25</v>
      </c>
      <c r="C59">
        <v>17671.650000000001</v>
      </c>
      <c r="D59" s="6">
        <f t="shared" si="0"/>
        <v>6.7253739795125932E-3</v>
      </c>
      <c r="E59" s="7">
        <f t="shared" si="1"/>
        <v>3.0320399087917201E-3</v>
      </c>
    </row>
    <row r="60" spans="1:5" x14ac:dyDescent="0.3">
      <c r="A60" t="s">
        <v>79</v>
      </c>
      <c r="B60">
        <v>2405.4</v>
      </c>
      <c r="C60">
        <v>16983.2</v>
      </c>
      <c r="D60" s="6">
        <f t="shared" si="0"/>
        <v>-5.2970402263508222E-2</v>
      </c>
      <c r="E60" s="7">
        <f t="shared" si="1"/>
        <v>-3.9737040444249035E-2</v>
      </c>
    </row>
    <row r="61" spans="1:5" x14ac:dyDescent="0.3">
      <c r="A61" t="s">
        <v>80</v>
      </c>
      <c r="B61">
        <v>2368.15</v>
      </c>
      <c r="C61">
        <v>17354.05</v>
      </c>
      <c r="D61" s="6">
        <f t="shared" si="0"/>
        <v>-1.5607150284209521E-2</v>
      </c>
      <c r="E61" s="7">
        <f t="shared" si="1"/>
        <v>2.1601288411623641E-2</v>
      </c>
    </row>
    <row r="62" spans="1:5" x14ac:dyDescent="0.3">
      <c r="A62" s="21">
        <v>44562</v>
      </c>
      <c r="B62">
        <v>2386.6</v>
      </c>
      <c r="C62">
        <v>17339.849999999999</v>
      </c>
      <c r="D62" s="6">
        <f>LN(B62/B61)</f>
        <v>7.760699343248384E-3</v>
      </c>
      <c r="E62" s="7">
        <f t="shared" si="1"/>
        <v>-8.185877513300963E-4</v>
      </c>
    </row>
    <row r="63" spans="1:5" x14ac:dyDescent="0.3">
      <c r="A63" s="21">
        <v>44593</v>
      </c>
      <c r="B63">
        <v>2359.5500000000002</v>
      </c>
      <c r="C63">
        <v>16793.900000000001</v>
      </c>
      <c r="D63" s="6">
        <f t="shared" si="0"/>
        <v>-1.1398836063355726E-2</v>
      </c>
      <c r="E63" s="7">
        <f t="shared" si="1"/>
        <v>-3.1991595559867449E-2</v>
      </c>
    </row>
    <row r="64" spans="1:5" x14ac:dyDescent="0.3">
      <c r="A64" s="21">
        <v>44621</v>
      </c>
      <c r="B64">
        <v>2634.75</v>
      </c>
      <c r="C64">
        <v>17464.75</v>
      </c>
      <c r="D64" s="6">
        <f t="shared" si="0"/>
        <v>0.11031737794184666</v>
      </c>
      <c r="E64" s="7">
        <f t="shared" si="1"/>
        <v>3.9168838577291303E-2</v>
      </c>
    </row>
    <row r="65" spans="1:5" x14ac:dyDescent="0.3">
      <c r="A65" s="21">
        <v>44652</v>
      </c>
      <c r="B65">
        <v>2778.35</v>
      </c>
      <c r="C65">
        <v>17038.400000000001</v>
      </c>
      <c r="D65" s="6">
        <f t="shared" si="0"/>
        <v>5.3068925484985735E-2</v>
      </c>
      <c r="E65" s="7">
        <f t="shared" si="1"/>
        <v>-2.4714943534390115E-2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FCC8-3AEB-4EBB-ABEE-B5C62B480AB5}">
  <dimension ref="A1:O33"/>
  <sheetViews>
    <sheetView tabSelected="1" workbookViewId="0">
      <selection activeCell="A11" sqref="A11:O25"/>
    </sheetView>
  </sheetViews>
  <sheetFormatPr defaultRowHeight="14.4" x14ac:dyDescent="0.3"/>
  <sheetData>
    <row r="1" spans="1:15" ht="23.4" customHeight="1" x14ac:dyDescent="0.3">
      <c r="A1" s="22" t="s">
        <v>94</v>
      </c>
      <c r="B1" s="23"/>
      <c r="C1" s="23"/>
      <c r="D1" s="23"/>
      <c r="E1" s="23"/>
      <c r="F1" s="23"/>
      <c r="G1" s="23"/>
      <c r="H1" s="23"/>
      <c r="I1" s="23"/>
      <c r="J1" s="23"/>
      <c r="K1" s="23"/>
      <c r="L1" s="23"/>
      <c r="M1" s="23"/>
      <c r="N1" s="23"/>
      <c r="O1" s="23"/>
    </row>
    <row r="2" spans="1:15" x14ac:dyDescent="0.3">
      <c r="A2" s="23"/>
      <c r="B2" s="23"/>
      <c r="C2" s="23"/>
      <c r="D2" s="23"/>
      <c r="E2" s="23"/>
      <c r="F2" s="23"/>
      <c r="G2" s="23"/>
      <c r="H2" s="23"/>
      <c r="I2" s="23"/>
      <c r="J2" s="23"/>
      <c r="K2" s="23"/>
      <c r="L2" s="23"/>
      <c r="M2" s="23"/>
      <c r="N2" s="23"/>
      <c r="O2" s="23"/>
    </row>
    <row r="3" spans="1:15" x14ac:dyDescent="0.3">
      <c r="A3" s="23"/>
      <c r="B3" s="23"/>
      <c r="C3" s="23"/>
      <c r="D3" s="23"/>
      <c r="E3" s="23"/>
      <c r="F3" s="23"/>
      <c r="G3" s="23"/>
      <c r="H3" s="23"/>
      <c r="I3" s="23"/>
      <c r="J3" s="23"/>
      <c r="K3" s="23"/>
      <c r="L3" s="23"/>
      <c r="M3" s="23"/>
      <c r="N3" s="23"/>
      <c r="O3" s="23"/>
    </row>
    <row r="4" spans="1:15" x14ac:dyDescent="0.3">
      <c r="A4" s="23"/>
      <c r="B4" s="23"/>
      <c r="C4" s="23"/>
      <c r="D4" s="23"/>
      <c r="E4" s="23"/>
      <c r="F4" s="23"/>
      <c r="G4" s="23"/>
      <c r="H4" s="23"/>
      <c r="I4" s="23"/>
      <c r="J4" s="23"/>
      <c r="K4" s="23"/>
      <c r="L4" s="23"/>
      <c r="M4" s="23"/>
      <c r="N4" s="23"/>
      <c r="O4" s="23"/>
    </row>
    <row r="5" spans="1:15" x14ac:dyDescent="0.3">
      <c r="A5" s="23"/>
      <c r="B5" s="23"/>
      <c r="C5" s="23"/>
      <c r="D5" s="23"/>
      <c r="E5" s="23"/>
      <c r="F5" s="23"/>
      <c r="G5" s="23"/>
      <c r="H5" s="23"/>
      <c r="I5" s="23"/>
      <c r="J5" s="23"/>
      <c r="K5" s="23"/>
      <c r="L5" s="23"/>
      <c r="M5" s="23"/>
      <c r="N5" s="23"/>
      <c r="O5" s="23"/>
    </row>
    <row r="6" spans="1:15" x14ac:dyDescent="0.3">
      <c r="A6" s="23"/>
      <c r="B6" s="23"/>
      <c r="C6" s="23"/>
      <c r="D6" s="23"/>
      <c r="E6" s="23"/>
      <c r="F6" s="23"/>
      <c r="G6" s="23"/>
      <c r="H6" s="23"/>
      <c r="I6" s="23"/>
      <c r="J6" s="23"/>
      <c r="K6" s="23"/>
      <c r="L6" s="23"/>
      <c r="M6" s="23"/>
      <c r="N6" s="23"/>
      <c r="O6" s="23"/>
    </row>
    <row r="7" spans="1:15" x14ac:dyDescent="0.3">
      <c r="A7" s="23"/>
      <c r="B7" s="23"/>
      <c r="C7" s="23"/>
      <c r="D7" s="23"/>
      <c r="E7" s="23"/>
      <c r="F7" s="23"/>
      <c r="G7" s="23"/>
      <c r="H7" s="23"/>
      <c r="I7" s="23"/>
      <c r="J7" s="23"/>
      <c r="K7" s="23"/>
      <c r="L7" s="23"/>
      <c r="M7" s="23"/>
      <c r="N7" s="23"/>
      <c r="O7" s="23"/>
    </row>
    <row r="8" spans="1:15" x14ac:dyDescent="0.3">
      <c r="A8" s="23"/>
      <c r="B8" s="23"/>
      <c r="C8" s="23"/>
      <c r="D8" s="23"/>
      <c r="E8" s="23"/>
      <c r="F8" s="23"/>
      <c r="G8" s="23"/>
      <c r="H8" s="23"/>
      <c r="I8" s="23"/>
      <c r="J8" s="23"/>
      <c r="K8" s="23"/>
      <c r="L8" s="23"/>
      <c r="M8" s="23"/>
      <c r="N8" s="23"/>
      <c r="O8" s="23"/>
    </row>
    <row r="9" spans="1:15" x14ac:dyDescent="0.3">
      <c r="A9" s="23"/>
      <c r="B9" s="23"/>
      <c r="C9" s="23"/>
      <c r="D9" s="23"/>
      <c r="E9" s="23"/>
      <c r="F9" s="23"/>
      <c r="G9" s="23"/>
      <c r="H9" s="23"/>
      <c r="I9" s="23"/>
      <c r="J9" s="23"/>
      <c r="K9" s="23"/>
      <c r="L9" s="23"/>
      <c r="M9" s="23"/>
      <c r="N9" s="23"/>
      <c r="O9" s="23"/>
    </row>
    <row r="11" spans="1:15" ht="14.4" customHeight="1" x14ac:dyDescent="0.3">
      <c r="A11" s="25" t="s">
        <v>95</v>
      </c>
      <c r="B11" s="24"/>
      <c r="C11" s="24"/>
      <c r="D11" s="24"/>
      <c r="E11" s="24"/>
      <c r="F11" s="24"/>
      <c r="G11" s="24"/>
      <c r="H11" s="24"/>
      <c r="I11" s="24"/>
      <c r="J11" s="24"/>
      <c r="K11" s="24"/>
      <c r="L11" s="24"/>
      <c r="M11" s="24"/>
      <c r="N11" s="24"/>
      <c r="O11" s="24"/>
    </row>
    <row r="12" spans="1:15" x14ac:dyDescent="0.3">
      <c r="A12" s="24"/>
      <c r="B12" s="24"/>
      <c r="C12" s="24"/>
      <c r="D12" s="24"/>
      <c r="E12" s="24"/>
      <c r="F12" s="24"/>
      <c r="G12" s="24"/>
      <c r="H12" s="24"/>
      <c r="I12" s="24"/>
      <c r="J12" s="24"/>
      <c r="K12" s="24"/>
      <c r="L12" s="24"/>
      <c r="M12" s="24"/>
      <c r="N12" s="24"/>
      <c r="O12" s="24"/>
    </row>
    <row r="13" spans="1:15" x14ac:dyDescent="0.3">
      <c r="A13" s="24"/>
      <c r="B13" s="24"/>
      <c r="C13" s="24"/>
      <c r="D13" s="24"/>
      <c r="E13" s="24"/>
      <c r="F13" s="24"/>
      <c r="G13" s="24"/>
      <c r="H13" s="24"/>
      <c r="I13" s="24"/>
      <c r="J13" s="24"/>
      <c r="K13" s="24"/>
      <c r="L13" s="24"/>
      <c r="M13" s="24"/>
      <c r="N13" s="24"/>
      <c r="O13" s="24"/>
    </row>
    <row r="14" spans="1:15" x14ac:dyDescent="0.3">
      <c r="A14" s="24"/>
      <c r="B14" s="24"/>
      <c r="C14" s="24"/>
      <c r="D14" s="24"/>
      <c r="E14" s="24"/>
      <c r="F14" s="24"/>
      <c r="G14" s="24"/>
      <c r="H14" s="24"/>
      <c r="I14" s="24"/>
      <c r="J14" s="24"/>
      <c r="K14" s="24"/>
      <c r="L14" s="24"/>
      <c r="M14" s="24"/>
      <c r="N14" s="24"/>
      <c r="O14" s="24"/>
    </row>
    <row r="15" spans="1:15" x14ac:dyDescent="0.3">
      <c r="A15" s="24"/>
      <c r="B15" s="24"/>
      <c r="C15" s="24"/>
      <c r="D15" s="24"/>
      <c r="E15" s="24"/>
      <c r="F15" s="24"/>
      <c r="G15" s="24"/>
      <c r="H15" s="24"/>
      <c r="I15" s="24"/>
      <c r="J15" s="24"/>
      <c r="K15" s="24"/>
      <c r="L15" s="24"/>
      <c r="M15" s="24"/>
      <c r="N15" s="24"/>
      <c r="O15" s="24"/>
    </row>
    <row r="16" spans="1:15" x14ac:dyDescent="0.3">
      <c r="A16" s="24"/>
      <c r="B16" s="24"/>
      <c r="C16" s="24"/>
      <c r="D16" s="24"/>
      <c r="E16" s="24"/>
      <c r="F16" s="24"/>
      <c r="G16" s="24"/>
      <c r="H16" s="24"/>
      <c r="I16" s="24"/>
      <c r="J16" s="24"/>
      <c r="K16" s="24"/>
      <c r="L16" s="24"/>
      <c r="M16" s="24"/>
      <c r="N16" s="24"/>
      <c r="O16" s="24"/>
    </row>
    <row r="17" spans="1:15" x14ac:dyDescent="0.3">
      <c r="A17" s="24"/>
      <c r="B17" s="24"/>
      <c r="C17" s="24"/>
      <c r="D17" s="24"/>
      <c r="E17" s="24"/>
      <c r="F17" s="24"/>
      <c r="G17" s="24"/>
      <c r="H17" s="24"/>
      <c r="I17" s="24"/>
      <c r="J17" s="24"/>
      <c r="K17" s="24"/>
      <c r="L17" s="24"/>
      <c r="M17" s="24"/>
      <c r="N17" s="24"/>
      <c r="O17" s="24"/>
    </row>
    <row r="18" spans="1:15" x14ac:dyDescent="0.3">
      <c r="A18" s="24"/>
      <c r="B18" s="24"/>
      <c r="C18" s="24"/>
      <c r="D18" s="24"/>
      <c r="E18" s="24"/>
      <c r="F18" s="24"/>
      <c r="G18" s="24"/>
      <c r="H18" s="24"/>
      <c r="I18" s="24"/>
      <c r="J18" s="24"/>
      <c r="K18" s="24"/>
      <c r="L18" s="24"/>
      <c r="M18" s="24"/>
      <c r="N18" s="24"/>
      <c r="O18" s="24"/>
    </row>
    <row r="19" spans="1:15" x14ac:dyDescent="0.3">
      <c r="A19" s="24"/>
      <c r="B19" s="24"/>
      <c r="C19" s="24"/>
      <c r="D19" s="24"/>
      <c r="E19" s="24"/>
      <c r="F19" s="24"/>
      <c r="G19" s="24"/>
      <c r="H19" s="24"/>
      <c r="I19" s="24"/>
      <c r="J19" s="24"/>
      <c r="K19" s="24"/>
      <c r="L19" s="24"/>
      <c r="M19" s="24"/>
      <c r="N19" s="24"/>
      <c r="O19" s="24"/>
    </row>
    <row r="20" spans="1:15" x14ac:dyDescent="0.3">
      <c r="A20" s="24"/>
      <c r="B20" s="24"/>
      <c r="C20" s="24"/>
      <c r="D20" s="24"/>
      <c r="E20" s="24"/>
      <c r="F20" s="24"/>
      <c r="G20" s="24"/>
      <c r="H20" s="24"/>
      <c r="I20" s="24"/>
      <c r="J20" s="24"/>
      <c r="K20" s="24"/>
      <c r="L20" s="24"/>
      <c r="M20" s="24"/>
      <c r="N20" s="24"/>
      <c r="O20" s="24"/>
    </row>
    <row r="21" spans="1:15" x14ac:dyDescent="0.3">
      <c r="A21" s="24"/>
      <c r="B21" s="24"/>
      <c r="C21" s="24"/>
      <c r="D21" s="24"/>
      <c r="E21" s="24"/>
      <c r="F21" s="24"/>
      <c r="G21" s="24"/>
      <c r="H21" s="24"/>
      <c r="I21" s="24"/>
      <c r="J21" s="24"/>
      <c r="K21" s="24"/>
      <c r="L21" s="24"/>
      <c r="M21" s="24"/>
      <c r="N21" s="24"/>
      <c r="O21" s="24"/>
    </row>
    <row r="22" spans="1:15" x14ac:dyDescent="0.3">
      <c r="A22" s="24"/>
      <c r="B22" s="24"/>
      <c r="C22" s="24"/>
      <c r="D22" s="24"/>
      <c r="E22" s="24"/>
      <c r="F22" s="24"/>
      <c r="G22" s="24"/>
      <c r="H22" s="24"/>
      <c r="I22" s="24"/>
      <c r="J22" s="24"/>
      <c r="K22" s="24"/>
      <c r="L22" s="24"/>
      <c r="M22" s="24"/>
      <c r="N22" s="24"/>
      <c r="O22" s="24"/>
    </row>
    <row r="23" spans="1:15" x14ac:dyDescent="0.3">
      <c r="A23" s="24"/>
      <c r="B23" s="24"/>
      <c r="C23" s="24"/>
      <c r="D23" s="24"/>
      <c r="E23" s="24"/>
      <c r="F23" s="24"/>
      <c r="G23" s="24"/>
      <c r="H23" s="24"/>
      <c r="I23" s="24"/>
      <c r="J23" s="24"/>
      <c r="K23" s="24"/>
      <c r="L23" s="24"/>
      <c r="M23" s="24"/>
      <c r="N23" s="24"/>
      <c r="O23" s="24"/>
    </row>
    <row r="24" spans="1:15" x14ac:dyDescent="0.3">
      <c r="A24" s="24"/>
      <c r="B24" s="24"/>
      <c r="C24" s="24"/>
      <c r="D24" s="24"/>
      <c r="E24" s="24"/>
      <c r="F24" s="24"/>
      <c r="G24" s="24"/>
      <c r="H24" s="24"/>
      <c r="I24" s="24"/>
      <c r="J24" s="24"/>
      <c r="K24" s="24"/>
      <c r="L24" s="24"/>
      <c r="M24" s="24"/>
      <c r="N24" s="24"/>
      <c r="O24" s="24"/>
    </row>
    <row r="25" spans="1:15" x14ac:dyDescent="0.3">
      <c r="A25" s="24"/>
      <c r="B25" s="24"/>
      <c r="C25" s="24"/>
      <c r="D25" s="24"/>
      <c r="E25" s="24"/>
      <c r="F25" s="24"/>
      <c r="G25" s="24"/>
      <c r="H25" s="24"/>
      <c r="I25" s="24"/>
      <c r="J25" s="24"/>
      <c r="K25" s="24"/>
      <c r="L25" s="24"/>
      <c r="M25" s="24"/>
      <c r="N25" s="24"/>
      <c r="O25" s="24"/>
    </row>
    <row r="27" spans="1:15" x14ac:dyDescent="0.3">
      <c r="A27" s="25" t="s">
        <v>95</v>
      </c>
      <c r="B27" s="24"/>
      <c r="C27" s="24"/>
      <c r="D27" s="24"/>
      <c r="E27" s="24"/>
      <c r="F27" s="24"/>
      <c r="G27" s="24"/>
      <c r="H27" s="24"/>
      <c r="I27" s="24"/>
      <c r="J27" s="24"/>
      <c r="K27" s="24"/>
      <c r="L27" s="24"/>
      <c r="M27" s="24"/>
      <c r="N27" s="24"/>
      <c r="O27" s="24"/>
    </row>
    <row r="28" spans="1:15" x14ac:dyDescent="0.3">
      <c r="A28" s="24"/>
      <c r="B28" s="24"/>
      <c r="C28" s="24"/>
      <c r="D28" s="24"/>
      <c r="E28" s="24"/>
      <c r="F28" s="24"/>
      <c r="G28" s="24"/>
      <c r="H28" s="24"/>
      <c r="I28" s="24"/>
      <c r="J28" s="24"/>
      <c r="K28" s="24"/>
      <c r="L28" s="24"/>
      <c r="M28" s="24"/>
      <c r="N28" s="24"/>
      <c r="O28" s="24"/>
    </row>
    <row r="29" spans="1:15" x14ac:dyDescent="0.3">
      <c r="A29" s="24"/>
      <c r="B29" s="24"/>
      <c r="C29" s="24"/>
      <c r="D29" s="24"/>
      <c r="E29" s="24"/>
      <c r="F29" s="24"/>
      <c r="G29" s="24"/>
      <c r="H29" s="24"/>
      <c r="I29" s="24"/>
      <c r="J29" s="24"/>
      <c r="K29" s="24"/>
      <c r="L29" s="24"/>
      <c r="M29" s="24"/>
      <c r="N29" s="24"/>
      <c r="O29" s="24"/>
    </row>
    <row r="30" spans="1:15" x14ac:dyDescent="0.3">
      <c r="A30" s="24"/>
      <c r="B30" s="24"/>
      <c r="C30" s="24"/>
      <c r="D30" s="24"/>
      <c r="E30" s="24"/>
      <c r="F30" s="24"/>
      <c r="G30" s="24"/>
      <c r="H30" s="24"/>
      <c r="I30" s="24"/>
      <c r="J30" s="24"/>
      <c r="K30" s="24"/>
      <c r="L30" s="24"/>
      <c r="M30" s="24"/>
      <c r="N30" s="24"/>
      <c r="O30" s="24"/>
    </row>
    <row r="31" spans="1:15" x14ac:dyDescent="0.3">
      <c r="A31" s="24"/>
      <c r="B31" s="24"/>
      <c r="C31" s="24"/>
      <c r="D31" s="24"/>
      <c r="E31" s="24"/>
      <c r="F31" s="24"/>
      <c r="G31" s="24"/>
      <c r="H31" s="24"/>
      <c r="I31" s="24"/>
      <c r="J31" s="24"/>
      <c r="K31" s="24"/>
      <c r="L31" s="24"/>
      <c r="M31" s="24"/>
      <c r="N31" s="24"/>
      <c r="O31" s="24"/>
    </row>
    <row r="32" spans="1:15" x14ac:dyDescent="0.3">
      <c r="A32" s="24"/>
      <c r="B32" s="24"/>
      <c r="C32" s="24"/>
      <c r="D32" s="24"/>
      <c r="E32" s="24"/>
      <c r="F32" s="24"/>
      <c r="G32" s="24"/>
      <c r="H32" s="24"/>
      <c r="I32" s="24"/>
      <c r="J32" s="24"/>
      <c r="K32" s="24"/>
      <c r="L32" s="24"/>
      <c r="M32" s="24"/>
      <c r="N32" s="24"/>
      <c r="O32" s="24"/>
    </row>
    <row r="33" spans="1:15" x14ac:dyDescent="0.3">
      <c r="A33" s="24"/>
      <c r="B33" s="24"/>
      <c r="C33" s="24"/>
      <c r="D33" s="24"/>
      <c r="E33" s="24"/>
      <c r="F33" s="24"/>
      <c r="G33" s="24"/>
      <c r="H33" s="24"/>
      <c r="I33" s="24"/>
      <c r="J33" s="24"/>
      <c r="K33" s="24"/>
      <c r="L33" s="24"/>
      <c r="M33" s="24"/>
      <c r="N33" s="24"/>
      <c r="O33" s="24"/>
    </row>
  </sheetData>
  <mergeCells count="3">
    <mergeCell ref="A1:O9"/>
    <mergeCell ref="A11:O25"/>
    <mergeCell ref="A27:O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EVA</vt:lpstr>
      <vt:lpstr>BETA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KANISHKA SHARMA</dc:creator>
  <cp:lastModifiedBy>KANISHKA SHARMA</cp:lastModifiedBy>
  <dcterms:created xsi:type="dcterms:W3CDTF">2026-02-11T05:51:12Z</dcterms:created>
  <dcterms:modified xsi:type="dcterms:W3CDTF">2026-02-11T16:10:56Z</dcterms:modified>
</cp:coreProperties>
</file>