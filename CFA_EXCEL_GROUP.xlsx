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r257\Downloads\"/>
    </mc:Choice>
  </mc:AlternateContent>
  <xr:revisionPtr revIDLastSave="0" documentId="13_ncr:1_{6174D99C-46F7-441D-BC9A-78377FB8CC1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2" r:id="rId1"/>
    <sheet name="WACC_Calculation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3" l="1"/>
  <c r="D17" i="3"/>
  <c r="D22" i="3"/>
  <c r="D23" i="3" s="1"/>
  <c r="D29" i="3" l="1"/>
  <c r="D24" i="3"/>
</calcChain>
</file>

<file path=xl/sharedStrings.xml><?xml version="1.0" encoding="utf-8"?>
<sst xmlns="http://schemas.openxmlformats.org/spreadsheetml/2006/main" count="18" uniqueCount="18">
  <si>
    <t>INPUTS</t>
  </si>
  <si>
    <t>Risk-free rate (Rf)</t>
  </si>
  <si>
    <t>Market return (Rm)</t>
  </si>
  <si>
    <t>Market risk premium (Rm - Rf)</t>
  </si>
  <si>
    <t>Beta (β)</t>
  </si>
  <si>
    <t>Cost of Equity (Ke) = Rf + β(Rm - Rf)</t>
  </si>
  <si>
    <t>Pre-tax Cost of Debt (Kd)</t>
  </si>
  <si>
    <t>Tax Rate</t>
  </si>
  <si>
    <t>After-tax Cost of Debt = Kd*(1-Tax Rate)</t>
  </si>
  <si>
    <t>Market Value of Equity (E)</t>
  </si>
  <si>
    <t>Market Value of Debt (D)</t>
  </si>
  <si>
    <t>Total Capital (D+E)</t>
  </si>
  <si>
    <t>Weight of Equity (E/(D+E))</t>
  </si>
  <si>
    <t>Weight of Debt (D/(D+E))</t>
  </si>
  <si>
    <t>WACC Calculation</t>
  </si>
  <si>
    <t>WACC = Ke*We + After-tax Kd*Wd</t>
  </si>
  <si>
    <t>YTM</t>
  </si>
  <si>
    <t xml:space="preserve">Walmart WACC Calculation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</si>
</sst>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%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/>
    </xf>
    <xf numFmtId="10" fontId="3" fillId="0" borderId="1" xfId="2" applyNumberFormat="1" applyFont="1" applyBorder="1"/>
    <xf numFmtId="0" fontId="2" fillId="0" borderId="1" xfId="0" applyFont="1" applyBorder="1"/>
    <xf numFmtId="10" fontId="2" fillId="0" borderId="1" xfId="0" applyNumberFormat="1" applyFont="1" applyBorder="1"/>
    <xf numFmtId="10" fontId="3" fillId="0" borderId="1" xfId="0" applyNumberFormat="1" applyFont="1" applyBorder="1"/>
    <xf numFmtId="10" fontId="2" fillId="0" borderId="1" xfId="2" applyNumberFormat="1" applyFont="1" applyBorder="1"/>
    <xf numFmtId="3" fontId="3" fillId="0" borderId="1" xfId="0" applyNumberFormat="1" applyFont="1" applyBorder="1"/>
    <xf numFmtId="165" fontId="3" fillId="0" borderId="1" xfId="1" applyNumberFormat="1" applyFont="1" applyBorder="1"/>
    <xf numFmtId="165" fontId="3" fillId="0" borderId="1" xfId="0" applyNumberFormat="1" applyFont="1" applyBorder="1"/>
    <xf numFmtId="164" fontId="2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433388</xdr:colOff>
      <xdr:row>2</xdr:row>
      <xdr:rowOff>161925</xdr:rowOff>
    </xdr:from>
    <xdr:to>
      <xdr:col>16</xdr:col>
      <xdr:colOff>128588</xdr:colOff>
      <xdr:row>23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AFF7B0F-518D-FFDB-7D41-FB3770600FB8}"/>
            </a:ext>
          </a:extLst>
        </xdr:cNvPr>
        <xdr:cNvSpPr/>
      </xdr:nvSpPr>
      <xdr:spPr>
        <a:xfrm>
          <a:off x="2376488" y="523875"/>
          <a:ext cx="8115300" cy="36480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IN" sz="2400" b="1" i="1" u="sng">
              <a:solidFill>
                <a:schemeClr val="accent1">
                  <a:lumMod val="75000"/>
                </a:schemeClr>
              </a:solidFill>
            </a:rPr>
            <a:t>CORPORATE</a:t>
          </a:r>
          <a:r>
            <a:rPr lang="en-IN" sz="2400" b="1" i="1" u="sng" baseline="0">
              <a:solidFill>
                <a:schemeClr val="accent1">
                  <a:lumMod val="75000"/>
                </a:schemeClr>
              </a:solidFill>
            </a:rPr>
            <a:t> FINANCE</a:t>
          </a:r>
        </a:p>
        <a:p>
          <a:pPr algn="ctr"/>
          <a:r>
            <a:rPr lang="en-IN" sz="2400" b="1" i="1" u="sng" baseline="0">
              <a:solidFill>
                <a:schemeClr val="accent1">
                  <a:lumMod val="75000"/>
                </a:schemeClr>
              </a:solidFill>
            </a:rPr>
            <a:t>WACC CALCULATION</a:t>
          </a:r>
        </a:p>
        <a:p>
          <a:pPr algn="ctr"/>
          <a:r>
            <a:rPr lang="en-IN" sz="2400" b="1" i="1" u="sng" baseline="0">
              <a:solidFill>
                <a:schemeClr val="accent1">
                  <a:lumMod val="75000"/>
                </a:schemeClr>
              </a:solidFill>
            </a:rPr>
            <a:t>SUBMITTED TO: SHALLU BATRA</a:t>
          </a:r>
        </a:p>
        <a:p>
          <a:pPr algn="ctr"/>
          <a:r>
            <a:rPr lang="en-IN" sz="2400" b="1" i="1" u="sng" baseline="0">
              <a:solidFill>
                <a:schemeClr val="accent1">
                  <a:lumMod val="75000"/>
                </a:schemeClr>
              </a:solidFill>
            </a:rPr>
            <a:t>SUBMITTED BY: GROUP-2</a:t>
          </a:r>
        </a:p>
        <a:p>
          <a:pPr algn="ctr"/>
          <a:endParaRPr lang="en-IN" sz="2400" baseline="0">
            <a:solidFill>
              <a:schemeClr val="accent1">
                <a:lumMod val="75000"/>
              </a:schemeClr>
            </a:solidFill>
          </a:endParaRPr>
        </a:p>
        <a:p>
          <a:pPr algn="r"/>
          <a:r>
            <a:rPr lang="en-IN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AKANSHA SAINI (25PGDMFM006)</a:t>
          </a:r>
          <a:endParaRPr lang="en-IN" sz="1100">
            <a:solidFill>
              <a:schemeClr val="accent1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en-IN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ARYAN CHAUHAN (25PGDMFM014)</a:t>
          </a:r>
          <a:endParaRPr lang="en-IN" sz="1100">
            <a:solidFill>
              <a:schemeClr val="accent1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en-IN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SURBHI GUPTA (25PGDMFM040)</a:t>
          </a:r>
          <a:endParaRPr lang="en-IN" sz="1100">
            <a:solidFill>
              <a:schemeClr val="accent1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en-IN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ABHAY RAJPUT (25PGDMFM002)</a:t>
          </a:r>
          <a:endParaRPr lang="en-IN" sz="1100">
            <a:solidFill>
              <a:schemeClr val="accent1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en-IN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SHREYA KHANNA (25PGDMFM049)</a:t>
          </a:r>
          <a:endParaRPr lang="en-IN" sz="1100">
            <a:solidFill>
              <a:schemeClr val="accent1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en-IN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AKSHAT SINGH (25PGDMFM009)</a:t>
          </a:r>
          <a:endParaRPr lang="en-IN" sz="1100">
            <a:solidFill>
              <a:schemeClr val="accent1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IN" sz="3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4124-97A6-4E13-870A-763E4717EBFC}">
  <dimension ref="A1"/>
  <sheetViews>
    <sheetView workbookViewId="0">
      <selection activeCell="S20" sqref="S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80A0-B050-4F57-B0CA-78C1F6E298B5}">
  <dimension ref="C7:D29"/>
  <sheetViews>
    <sheetView tabSelected="1" topLeftCell="A4" workbookViewId="0">
      <selection activeCell="F21" sqref="F21"/>
    </sheetView>
  </sheetViews>
  <sheetFormatPr defaultRowHeight="14.4" x14ac:dyDescent="0.3"/>
  <cols>
    <col min="3" max="3" width="35.109375" bestFit="1" customWidth="1"/>
    <col min="4" max="4" width="16.5546875" bestFit="1" customWidth="1"/>
  </cols>
  <sheetData>
    <row r="7" spans="3:4" x14ac:dyDescent="0.3">
      <c r="C7" s="1" t="s">
        <v>17</v>
      </c>
      <c r="D7" s="2"/>
    </row>
    <row r="8" spans="3:4" x14ac:dyDescent="0.3">
      <c r="C8" s="2"/>
      <c r="D8" s="2"/>
    </row>
    <row r="9" spans="3:4" x14ac:dyDescent="0.3">
      <c r="C9" s="3" t="s">
        <v>0</v>
      </c>
      <c r="D9" s="2"/>
    </row>
    <row r="10" spans="3:4" x14ac:dyDescent="0.3">
      <c r="C10" s="2"/>
      <c r="D10" s="2"/>
    </row>
    <row r="11" spans="3:4" x14ac:dyDescent="0.3">
      <c r="C11" s="2" t="s">
        <v>1</v>
      </c>
      <c r="D11" s="4">
        <v>2.6499999999999999E-2</v>
      </c>
    </row>
    <row r="12" spans="3:4" x14ac:dyDescent="0.3">
      <c r="C12" s="2" t="s">
        <v>2</v>
      </c>
      <c r="D12" s="2">
        <v>0.11360000000000001</v>
      </c>
    </row>
    <row r="13" spans="3:4" x14ac:dyDescent="0.3">
      <c r="C13" s="2" t="s">
        <v>3</v>
      </c>
      <c r="D13" s="4">
        <v>7.9299999999999995E-2</v>
      </c>
    </row>
    <row r="14" spans="3:4" x14ac:dyDescent="0.3">
      <c r="C14" s="2" t="s">
        <v>4</v>
      </c>
      <c r="D14" s="2">
        <v>0.71</v>
      </c>
    </row>
    <row r="15" spans="3:4" x14ac:dyDescent="0.3">
      <c r="C15" s="5" t="s">
        <v>5</v>
      </c>
      <c r="D15" s="6">
        <f>D11 + (D13*D14)</f>
        <v>8.2802999999999988E-2</v>
      </c>
    </row>
    <row r="16" spans="3:4" x14ac:dyDescent="0.3">
      <c r="C16" s="2" t="s">
        <v>16</v>
      </c>
      <c r="D16" s="7">
        <v>3.5299999999999998E-2</v>
      </c>
    </row>
    <row r="17" spans="3:4" x14ac:dyDescent="0.3">
      <c r="C17" s="5" t="s">
        <v>6</v>
      </c>
      <c r="D17" s="8">
        <f>D16*(1-D18)</f>
        <v>2.5768999999999997E-2</v>
      </c>
    </row>
    <row r="18" spans="3:4" x14ac:dyDescent="0.3">
      <c r="C18" s="2" t="s">
        <v>7</v>
      </c>
      <c r="D18" s="2">
        <v>0.27</v>
      </c>
    </row>
    <row r="19" spans="3:4" x14ac:dyDescent="0.3">
      <c r="C19" s="5" t="s">
        <v>8</v>
      </c>
      <c r="D19" s="5"/>
    </row>
    <row r="20" spans="3:4" x14ac:dyDescent="0.3">
      <c r="C20" s="2" t="s">
        <v>9</v>
      </c>
      <c r="D20" s="9">
        <v>300979000000</v>
      </c>
    </row>
    <row r="21" spans="3:4" x14ac:dyDescent="0.3">
      <c r="C21" s="2" t="s">
        <v>10</v>
      </c>
      <c r="D21" s="10">
        <v>58033000000</v>
      </c>
    </row>
    <row r="22" spans="3:4" x14ac:dyDescent="0.3">
      <c r="C22" s="2" t="s">
        <v>11</v>
      </c>
      <c r="D22" s="11">
        <f>D20+D21</f>
        <v>359012000000</v>
      </c>
    </row>
    <row r="23" spans="3:4" x14ac:dyDescent="0.3">
      <c r="C23" s="2" t="s">
        <v>12</v>
      </c>
      <c r="D23" s="4">
        <f>D20/D22</f>
        <v>0.83835359263757203</v>
      </c>
    </row>
    <row r="24" spans="3:4" x14ac:dyDescent="0.3">
      <c r="C24" s="2" t="s">
        <v>13</v>
      </c>
      <c r="D24" s="4">
        <f>D21/D22</f>
        <v>0.161646407362428</v>
      </c>
    </row>
    <row r="25" spans="3:4" x14ac:dyDescent="0.3">
      <c r="C25" s="2"/>
      <c r="D25" s="2"/>
    </row>
    <row r="26" spans="3:4" x14ac:dyDescent="0.3">
      <c r="C26" s="2"/>
      <c r="D26" s="2"/>
    </row>
    <row r="27" spans="3:4" x14ac:dyDescent="0.3">
      <c r="C27" s="1" t="s">
        <v>14</v>
      </c>
      <c r="D27" s="2"/>
    </row>
    <row r="28" spans="3:4" x14ac:dyDescent="0.3">
      <c r="C28" s="2"/>
      <c r="D28" s="2"/>
    </row>
    <row r="29" spans="3:4" x14ac:dyDescent="0.3">
      <c r="C29" s="5" t="s">
        <v>15</v>
      </c>
      <c r="D29" s="12">
        <f>(D15*D23)+(D17*D24)</f>
        <v>7.3583658802491264E-2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WACC_Calculation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Singh Rajput</cp:lastModifiedBy>
  <dcterms:created xsi:type="dcterms:W3CDTF">2025-11-20T14:51:08Z</dcterms:created>
  <dcterms:modified xsi:type="dcterms:W3CDTF">2025-11-20T16:27:39Z</dcterms:modified>
</cp:coreProperties>
</file>