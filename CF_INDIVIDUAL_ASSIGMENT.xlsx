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068A4D4-841F-4FA6-9932-AF5727B4CFDF}" xr6:coauthVersionLast="47" xr6:coauthVersionMax="47" xr10:uidLastSave="{00000000-0000-0000-0000-000000000000}"/>
  <bookViews>
    <workbookView xWindow="-110" yWindow="-110" windowWidth="19420" windowHeight="10300" firstSheet="2" activeTab="5" xr2:uid="{EB7936D4-6E1C-4911-B363-2A03E90A60BF}"/>
  </bookViews>
  <sheets>
    <sheet name="DATA" sheetId="1" r:id="rId1"/>
    <sheet name="INTERPRETATIONS" sheetId="2" r:id="rId2"/>
    <sheet name="DASHBOARD" sheetId="3" r:id="rId3"/>
    <sheet name="PROFIT AND LOSS" sheetId="4" r:id="rId4"/>
    <sheet name="BAL. SHEET APPOLO" sheetId="5" r:id="rId5"/>
    <sheet name="CASH FLOW APPOLO" sheetId="6" r:id="rId6"/>
    <sheet name="PROFIT AND LOSS " sheetId="7" r:id="rId7"/>
    <sheet name="BALANCE SHEET" sheetId="8" r:id="rId8"/>
    <sheet name="CASH FLOW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8" l="1"/>
  <c r="F46" i="8"/>
  <c r="E46" i="8"/>
  <c r="D46" i="8"/>
  <c r="C46" i="8"/>
  <c r="B46" i="8"/>
  <c r="G45" i="8"/>
  <c r="G47" i="8" s="1"/>
  <c r="F45" i="8"/>
  <c r="F47" i="8" s="1"/>
  <c r="E45" i="8"/>
  <c r="E47" i="8" s="1"/>
  <c r="D45" i="8"/>
  <c r="D47" i="8" s="1"/>
  <c r="C45" i="8"/>
  <c r="C47" i="8" s="1"/>
  <c r="B45" i="8"/>
  <c r="B47" i="8" s="1"/>
  <c r="G43" i="8"/>
  <c r="G44" i="8" s="1"/>
  <c r="F43" i="8"/>
  <c r="F44" i="8" s="1"/>
  <c r="E43" i="8"/>
  <c r="E44" i="8" s="1"/>
  <c r="D43" i="8"/>
  <c r="D44" i="8" s="1"/>
  <c r="C43" i="8"/>
  <c r="C44" i="8" s="1"/>
  <c r="B43" i="8"/>
  <c r="B44" i="8" s="1"/>
  <c r="G18" i="8"/>
  <c r="F18" i="8"/>
  <c r="E18" i="8"/>
  <c r="D18" i="8"/>
  <c r="C18" i="8"/>
  <c r="B18" i="8"/>
  <c r="G16" i="8"/>
  <c r="F16" i="8"/>
  <c r="E16" i="8"/>
  <c r="D16" i="8"/>
  <c r="C16" i="8"/>
  <c r="B16" i="8"/>
  <c r="G11" i="8"/>
  <c r="F11" i="8"/>
  <c r="E11" i="8"/>
  <c r="D11" i="8"/>
  <c r="C11" i="8"/>
  <c r="B11" i="8"/>
  <c r="G5" i="8"/>
  <c r="F5" i="8"/>
  <c r="E5" i="8"/>
  <c r="D5" i="8"/>
  <c r="C5" i="8"/>
  <c r="B5" i="8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G30" i="7"/>
  <c r="F30" i="7"/>
  <c r="E30" i="7"/>
  <c r="D30" i="7"/>
  <c r="C30" i="7"/>
  <c r="G29" i="7"/>
  <c r="F29" i="7"/>
  <c r="E29" i="7"/>
  <c r="D29" i="7"/>
  <c r="C29" i="7"/>
  <c r="B29" i="7"/>
  <c r="B30" i="7" s="1"/>
  <c r="B14" i="1" l="1"/>
  <c r="S14" i="1"/>
  <c r="R14" i="1"/>
  <c r="Q14" i="1"/>
  <c r="P14" i="1"/>
  <c r="O14" i="1"/>
  <c r="N14" i="1"/>
  <c r="S10" i="1"/>
  <c r="R10" i="1"/>
  <c r="Q10" i="1"/>
  <c r="P10" i="1"/>
  <c r="O10" i="1"/>
  <c r="N10" i="1"/>
  <c r="S6" i="1"/>
  <c r="R6" i="1"/>
  <c r="Q6" i="1"/>
  <c r="P6" i="1"/>
  <c r="O6" i="1"/>
  <c r="N6" i="1"/>
  <c r="G14" i="1" l="1"/>
  <c r="F14" i="1"/>
  <c r="E14" i="1"/>
  <c r="D14" i="1"/>
  <c r="C14" i="1"/>
  <c r="G6" i="1"/>
  <c r="F6" i="1"/>
  <c r="E6" i="1"/>
  <c r="D6" i="1"/>
  <c r="C6" i="1"/>
  <c r="B6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<sst xmlns="http://schemas.openxmlformats.org/spreadsheetml/2006/main" count="259" uniqueCount="174">
  <si>
    <t xml:space="preserve">Appolo tubes ltd. </t>
  </si>
  <si>
    <t>Trend</t>
  </si>
  <si>
    <t>Debt Equity Ratio</t>
  </si>
  <si>
    <t xml:space="preserve">Total Debt  </t>
  </si>
  <si>
    <t>Total Equity</t>
  </si>
  <si>
    <t>Interest Coverage Ratio</t>
  </si>
  <si>
    <t>EBIT</t>
  </si>
  <si>
    <t>Interest</t>
  </si>
  <si>
    <t>Debt to Total Assest</t>
  </si>
  <si>
    <t>Total debt</t>
  </si>
  <si>
    <t>Total Assest</t>
  </si>
  <si>
    <t>Debt–Equity Ratio Interpretation</t>
  </si>
  <si>
    <t>Interest Coverage Ratio Interpretation</t>
  </si>
  <si>
    <t>Debt-to-Total Assets Ratio Interpretation</t>
  </si>
  <si>
    <t>FINAL INTERPRETATION (APL Apollo vs SAIL)</t>
  </si>
  <si>
    <t xml:space="preserve">Steel authority of india( sail) ltd. </t>
  </si>
  <si>
    <t>TTM</t>
  </si>
  <si>
    <r>
      <t>Sales </t>
    </r>
    <r>
      <rPr>
        <sz val="11"/>
        <color rgb="FF665EFD"/>
        <rFont val="Arial"/>
        <family val="2"/>
      </rPr>
      <t>-</t>
    </r>
  </si>
  <si>
    <t>Sales Growth %</t>
  </si>
  <si>
    <r>
      <t>Expenses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</si>
  <si>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-</t>
    </r>
  </si>
  <si>
    <t>Raw material cost</t>
  </si>
  <si>
    <t>Change in inventory</t>
  </si>
  <si>
    <t>Manufacturing Cost %</t>
  </si>
  <si>
    <t>Employee Cost %</t>
  </si>
  <si>
    <t>Other Cost %</t>
  </si>
  <si>
    <t>Operating Profit</t>
  </si>
  <si>
    <t>OPM %</t>
  </si>
  <si>
    <r>
      <t>Other Income </t>
    </r>
    <r>
      <rPr>
        <sz val="11"/>
        <color rgb="FF665EFD"/>
        <rFont val="Arial"/>
        <family val="2"/>
      </rPr>
      <t>-</t>
    </r>
  </si>
  <si>
    <t>Exceptional items</t>
  </si>
  <si>
    <t>Other income normal</t>
  </si>
  <si>
    <t>Depreciation</t>
  </si>
  <si>
    <t>Profit before tax</t>
  </si>
  <si>
    <t>Tax %</t>
  </si>
  <si>
    <r>
      <t>Net Profit </t>
    </r>
    <r>
      <rPr>
        <sz val="11"/>
        <color rgb="FF665EFD"/>
        <rFont val="Arial"/>
        <family val="2"/>
      </rPr>
      <t>-</t>
    </r>
  </si>
  <si>
    <t>Minority share</t>
  </si>
  <si>
    <t>Exceptional items AT</t>
  </si>
  <si>
    <t>Profit excl Excep</t>
  </si>
  <si>
    <t>Profit for PE</t>
  </si>
  <si>
    <t>Profit for EPS</t>
  </si>
  <si>
    <t>EPS in Rs</t>
  </si>
  <si>
    <t>Dividend Payout %</t>
  </si>
  <si>
    <t>Equity Capital</t>
  </si>
  <si>
    <t>Reserves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</si>
  <si>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</si>
  <si>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</si>
  <si>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</si>
  <si>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</si>
  <si>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</si>
  <si>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</si>
  <si>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</si>
  <si>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</si>
  <si>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</si>
  <si>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</si>
  <si>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</si>
  <si>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</si>
  <si>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</si>
  <si>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</si>
  <si>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</si>
  <si>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</si>
  <si>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</si>
  <si>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</si>
  <si>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</si>
  <si>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</si>
  <si>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</si>
  <si>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</si>
  <si>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</si>
  <si>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</si>
  <si>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</si>
  <si>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</si>
  <si>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</si>
  <si>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>Trade receivables </t>
    </r>
    <r>
      <rPr>
        <sz val="11"/>
        <color rgb="FF665EFD"/>
        <rFont val="Arial"/>
        <family val="2"/>
      </rPr>
      <t>-</t>
    </r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</si>
  <si>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</si>
  <si>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</si>
  <si>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</si>
  <si>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</si>
  <si>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</si>
  <si>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</si>
  <si>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Total Assets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</si>
  <si>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</si>
  <si>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</si>
  <si>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</si>
  <si>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</si>
  <si>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</si>
  <si>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</si>
  <si>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</si>
  <si>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</si>
  <si>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</si>
  <si>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</si>
  <si>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</si>
  <si>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z</t>
  </si>
  <si>
    <t>Fixed assets sold</t>
  </si>
  <si>
    <t>Investments purchased</t>
  </si>
  <si>
    <t>Investments sold</t>
  </si>
  <si>
    <t>Interest received</t>
  </si>
  <si>
    <t>Invest in subsidiaries</t>
  </si>
  <si>
    <t>Acquisition of companies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</si>
  <si>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</si>
  <si>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</si>
  <si>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</si>
  <si>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</si>
  <si>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</si>
  <si>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</si>
  <si>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</si>
  <si>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</si>
  <si>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</si>
  <si>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</si>
  <si>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 xml:space="preserve">Profit &amp; Loss </t>
  </si>
  <si>
    <t>Sales -</t>
  </si>
  <si>
    <t>Expenses -</t>
  </si>
  <si>
    <t>Material Cost % -</t>
  </si>
  <si>
    <t>Other Income -</t>
  </si>
  <si>
    <t>Net Profit -</t>
  </si>
  <si>
    <t>COGS</t>
  </si>
  <si>
    <t>Gross Profit</t>
  </si>
  <si>
    <t>CAGR</t>
  </si>
  <si>
    <t>Average Inventory</t>
  </si>
  <si>
    <t>Weighted Average Shares Outstanding</t>
  </si>
  <si>
    <t>Balance Sheet</t>
  </si>
  <si>
    <t xml:space="preserve">Total Owners Equity </t>
  </si>
  <si>
    <t>Borrowings -</t>
  </si>
  <si>
    <t xml:space="preserve">Total debt </t>
  </si>
  <si>
    <t>Other Liabilities -</t>
  </si>
  <si>
    <t xml:space="preserve"> Total Current Liabilities</t>
  </si>
  <si>
    <t>Operating Current liabilities</t>
  </si>
  <si>
    <t>Fixed Assets -</t>
  </si>
  <si>
    <t>Railway sidings</t>
  </si>
  <si>
    <t>Other Assets -</t>
  </si>
  <si>
    <t>Trade receivables -</t>
  </si>
  <si>
    <t>Total Current Assets</t>
  </si>
  <si>
    <t>Operating Asstes</t>
  </si>
  <si>
    <t>Operating Current Assets</t>
  </si>
  <si>
    <t xml:space="preserve">Net Fixed Assets </t>
  </si>
  <si>
    <t xml:space="preserve">Total Operating Assets </t>
  </si>
  <si>
    <t>Cash Flow</t>
  </si>
  <si>
    <t>Cash from Operating Activity -</t>
  </si>
  <si>
    <t>Cash from Investing Activity -</t>
  </si>
  <si>
    <t>Dividends received</t>
  </si>
  <si>
    <t>Cash from Financing Activity -</t>
  </si>
  <si>
    <t>STEEL AUTHORITY OF INDIA LTD. (SAIL)</t>
  </si>
  <si>
    <t xml:space="preserve">APPOLO TUBES LTD. </t>
  </si>
  <si>
    <t>SAIL LTD.</t>
  </si>
  <si>
    <t>interest coverage ratio</t>
  </si>
  <si>
    <t xml:space="preserve">sail ltd. </t>
  </si>
  <si>
    <t>debt asset ratio</t>
  </si>
  <si>
    <r>
      <t xml:space="preserve">                        </t>
    </r>
    <r>
      <rPr>
        <sz val="18"/>
        <color theme="1"/>
        <rFont val="Calibri"/>
        <family val="2"/>
        <scheme val="minor"/>
      </rPr>
      <t xml:space="preserve"> RATIO COMPARISON OF APPOLO  TUBES LTD. AND SAIL LTD. </t>
    </r>
  </si>
  <si>
    <t>SAIL exhibits very strong ICR values:</t>
  </si>
  <si>
    <t>6.53 (2020)</t>
  </si>
  <si>
    <t>9.27 (2021)</t>
  </si>
  <si>
    <t>6.76 (2022)</t>
  </si>
  <si>
    <t>APL Apollo’s ratio improves significantly:</t>
  </si>
  <si>
    <t>0.255 (2020)</t>
  </si>
  <si>
    <t>0.142 (2022)</t>
  </si>
  <si>
    <t>0.093 (2024)</t>
  </si>
  <si>
    <t>This reflects a consistent reduction in debt dependence.</t>
  </si>
  <si>
    <t>SAIL shows a similar pattern:</t>
  </si>
  <si>
    <t>APL Apollo’s D/E ratio shows a consistent decline from 0.615 (2020) to 0.274 (2022) and further down to 0.179 (2024).</t>
  </si>
  <si>
    <t>However, in 2025, the ratio sharply jumps to 1.594, indicating a sudden rise in debt compared to equity.</t>
  </si>
  <si>
    <t>SAIL’s Debt-Equity ratio starts at 1.303 (2020) and steadily improves to 0.263 (2023) and 0.179 (2024), showing strong deleveraging.</t>
  </si>
  <si>
    <t>But similar to Apollo, SAIL’s ratio rises again to 1.594 (2025), reflecting an increase in debt or a decline in equity.</t>
  </si>
  <si>
    <t>APL Apollo’s ICR improves sharply from 3.76 (2020) to 15.36 (2022), showing strong operational performance.</t>
  </si>
  <si>
    <t>However, it declines to 2.64 (2024) and further to 2.16 (2025), indicating increasing pressure on interest repayments.</t>
  </si>
  <si>
    <t>but sees a drop to 2.47 (2024) and 2.79 (2025).</t>
  </si>
  <si>
    <t>SAIL’s ICR remains acceptable but shows declining comfort, suggesting rising interest cost or falling EBIT.</t>
  </si>
  <si>
    <t>But in 2025, it jumps to 0.430, indicating a rising share of assets funded by debt.</t>
  </si>
  <si>
    <t>From 0.255 (2020) down to 0.093 (2024), showing strong debt reduction.</t>
  </si>
  <si>
    <t>But rises again to 0.430 (2025), signaling increased dependence on external financing.</t>
  </si>
  <si>
    <t>Both APL Apollo and SAIL show a strong improving trend from 2020 to 2024 across all leverage ratios.</t>
  </si>
  <si>
    <t>Their Debt–Equity, Interest Coverage, and Debt-to-Assets ratios all move in the right direction until 2024, indicating strong operating performance, debt repayment, and reduced financial risk.</t>
  </si>
  <si>
    <t>However, in 2025, both companies show:</t>
  </si>
  <si>
    <t>A noticeable rise in leverage,</t>
  </si>
  <si>
    <t>Falling interest coverage,</t>
  </si>
  <si>
    <t>Higher asset dependence on debt.</t>
  </si>
  <si>
    <t>This suggests that in 2025, both companies increased borrowings or experienced weakened equity/EBIT, leading to higher financial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</si>
</sst>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665EFD"/>
      <name val="Arial"/>
      <family val="2"/>
    </font>
    <font>
      <sz val="18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4" xfId="0" applyBorder="1"/>
    <xf numFmtId="0" fontId="2" fillId="0" borderId="5" xfId="0" applyFont="1" applyBorder="1"/>
    <xf numFmtId="0" fontId="2" fillId="0" borderId="4" xfId="0" applyFont="1" applyBorder="1"/>
    <xf numFmtId="3" fontId="4" fillId="2" borderId="4" xfId="0" applyNumberFormat="1" applyFont="1" applyFill="1" applyBorder="1" applyAlignment="1">
      <alignment horizontal="right" vertical="center" wrapText="1"/>
    </xf>
    <xf numFmtId="9" fontId="0" fillId="0" borderId="0" xfId="1" applyFont="1"/>
    <xf numFmtId="0" fontId="2" fillId="0" borderId="0" xfId="0" applyFont="1"/>
    <xf numFmtId="3" fontId="0" fillId="0" borderId="0" xfId="0" applyNumberFormat="1"/>
    <xf numFmtId="3" fontId="0" fillId="0" borderId="4" xfId="0" applyNumberFormat="1" applyBorder="1"/>
    <xf numFmtId="9" fontId="2" fillId="0" borderId="6" xfId="1" applyFont="1" applyBorder="1"/>
    <xf numFmtId="9" fontId="2" fillId="0" borderId="4" xfId="1" applyFont="1" applyBorder="1"/>
    <xf numFmtId="0" fontId="6" fillId="0" borderId="0" xfId="0" applyFont="1"/>
    <xf numFmtId="9" fontId="0" fillId="0" borderId="0" xfId="0" applyNumberFormat="1"/>
    <xf numFmtId="17" fontId="8" fillId="2" borderId="4" xfId="0" applyNumberFormat="1" applyFont="1" applyFill="1" applyBorder="1" applyAlignment="1">
      <alignment horizontal="left" vertical="center" wrapText="1" indent="1"/>
    </xf>
    <xf numFmtId="16" fontId="8" fillId="2" borderId="4" xfId="0" applyNumberFormat="1" applyFont="1" applyFill="1" applyBorder="1" applyAlignment="1">
      <alignment horizontal="left" vertical="center" wrapText="1" indent="1"/>
    </xf>
    <xf numFmtId="0" fontId="0" fillId="2" borderId="4" xfId="0" applyFill="1" applyBorder="1" applyAlignment="1">
      <alignment horizontal="left" indent="1"/>
    </xf>
    <xf numFmtId="0" fontId="4" fillId="3" borderId="4" xfId="0" applyFont="1" applyFill="1" applyBorder="1" applyAlignment="1">
      <alignment horizontal="left" vertical="center" indent="1"/>
    </xf>
    <xf numFmtId="3" fontId="4" fillId="3" borderId="4" xfId="0" applyNumberFormat="1" applyFont="1" applyFill="1" applyBorder="1" applyAlignment="1">
      <alignment horizontal="left" vertical="center" wrapText="1" indent="1"/>
    </xf>
    <xf numFmtId="10" fontId="4" fillId="3" borderId="4" xfId="0" applyNumberFormat="1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indent="1"/>
    </xf>
    <xf numFmtId="3" fontId="4" fillId="2" borderId="4" xfId="0" applyNumberFormat="1" applyFont="1" applyFill="1" applyBorder="1" applyAlignment="1">
      <alignment horizontal="left" vertical="center" wrapText="1" indent="1"/>
    </xf>
    <xf numFmtId="9" fontId="4" fillId="2" borderId="4" xfId="0" applyNumberFormat="1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9" fontId="4" fillId="3" borderId="4" xfId="0" applyNumberFormat="1" applyFont="1" applyFill="1" applyBorder="1" applyAlignment="1">
      <alignment horizontal="left" vertical="center" wrapText="1" indent="1"/>
    </xf>
    <xf numFmtId="17" fontId="8" fillId="2" borderId="4" xfId="0" applyNumberFormat="1" applyFont="1" applyFill="1" applyBorder="1" applyAlignment="1">
      <alignment horizontal="right" vertical="center" wrapText="1"/>
    </xf>
    <xf numFmtId="16" fontId="0" fillId="2" borderId="4" xfId="0" applyNumberFormat="1" applyFill="1" applyBorder="1"/>
    <xf numFmtId="0" fontId="4" fillId="3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3" fontId="4" fillId="3" borderId="4" xfId="0" applyNumberFormat="1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16" fontId="0" fillId="2" borderId="7" xfId="0" applyNumberFormat="1" applyFill="1" applyBorder="1"/>
    <xf numFmtId="3" fontId="4" fillId="3" borderId="7" xfId="0" applyNumberFormat="1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11" fillId="4" borderId="7" xfId="0" applyFont="1" applyFill="1" applyBorder="1"/>
    <xf numFmtId="0" fontId="12" fillId="4" borderId="8" xfId="0" applyFont="1" applyFill="1" applyBorder="1"/>
    <xf numFmtId="0" fontId="0" fillId="4" borderId="8" xfId="0" applyFill="1" applyBorder="1"/>
    <xf numFmtId="0" fontId="0" fillId="4" borderId="6" xfId="0" applyFill="1" applyBorder="1"/>
    <xf numFmtId="17" fontId="13" fillId="5" borderId="8" xfId="0" applyNumberFormat="1" applyFont="1" applyFill="1" applyBorder="1"/>
    <xf numFmtId="17" fontId="14" fillId="5" borderId="8" xfId="0" applyNumberFormat="1" applyFont="1" applyFill="1" applyBorder="1"/>
    <xf numFmtId="17" fontId="14" fillId="5" borderId="6" xfId="0" applyNumberFormat="1" applyFont="1" applyFill="1" applyBorder="1"/>
    <xf numFmtId="0" fontId="13" fillId="0" borderId="9" xfId="0" applyFont="1" applyBorder="1"/>
    <xf numFmtId="3" fontId="13" fillId="0" borderId="9" xfId="0" applyNumberFormat="1" applyFont="1" applyBorder="1"/>
    <xf numFmtId="0" fontId="13" fillId="0" borderId="4" xfId="0" applyFont="1" applyBorder="1"/>
    <xf numFmtId="10" fontId="13" fillId="0" borderId="4" xfId="0" applyNumberFormat="1" applyFont="1" applyBorder="1"/>
    <xf numFmtId="4" fontId="13" fillId="0" borderId="4" xfId="0" applyNumberFormat="1" applyFont="1" applyBorder="1"/>
    <xf numFmtId="3" fontId="13" fillId="0" borderId="4" xfId="0" applyNumberFormat="1" applyFont="1" applyBorder="1"/>
    <xf numFmtId="9" fontId="13" fillId="0" borderId="4" xfId="1" applyFont="1" applyBorder="1"/>
    <xf numFmtId="9" fontId="13" fillId="0" borderId="4" xfId="0" applyNumberFormat="1" applyFont="1" applyBorder="1"/>
    <xf numFmtId="0" fontId="14" fillId="6" borderId="4" xfId="0" applyFont="1" applyFill="1" applyBorder="1"/>
    <xf numFmtId="1" fontId="14" fillId="6" borderId="4" xfId="0" applyNumberFormat="1" applyFont="1" applyFill="1" applyBorder="1"/>
    <xf numFmtId="0" fontId="13" fillId="6" borderId="4" xfId="0" applyFont="1" applyFill="1" applyBorder="1"/>
    <xf numFmtId="3" fontId="13" fillId="6" borderId="4" xfId="0" applyNumberFormat="1" applyFont="1" applyFill="1" applyBorder="1"/>
    <xf numFmtId="0" fontId="0" fillId="6" borderId="4" xfId="0" applyFill="1" applyBorder="1"/>
    <xf numFmtId="0" fontId="15" fillId="6" borderId="4" xfId="0" applyFont="1" applyFill="1" applyBorder="1"/>
    <xf numFmtId="164" fontId="0" fillId="0" borderId="4" xfId="0" applyNumberFormat="1" applyBorder="1"/>
    <xf numFmtId="4" fontId="0" fillId="0" borderId="0" xfId="0" applyNumberFormat="1"/>
    <xf numFmtId="0" fontId="0" fillId="4" borderId="7" xfId="0" applyFill="1" applyBorder="1"/>
    <xf numFmtId="0" fontId="11" fillId="4" borderId="8" xfId="0" applyFont="1" applyFill="1" applyBorder="1"/>
    <xf numFmtId="0" fontId="0" fillId="5" borderId="4" xfId="0" applyFill="1" applyBorder="1"/>
    <xf numFmtId="17" fontId="1" fillId="5" borderId="4" xfId="0" applyNumberFormat="1" applyFont="1" applyFill="1" applyBorder="1"/>
    <xf numFmtId="0" fontId="1" fillId="7" borderId="4" xfId="0" applyFont="1" applyFill="1" applyBorder="1"/>
    <xf numFmtId="3" fontId="1" fillId="7" borderId="4" xfId="0" applyNumberFormat="1" applyFont="1" applyFill="1" applyBorder="1"/>
    <xf numFmtId="4" fontId="0" fillId="0" borderId="4" xfId="0" applyNumberFormat="1" applyBorder="1"/>
    <xf numFmtId="0" fontId="0" fillId="7" borderId="4" xfId="0" applyFill="1" applyBorder="1"/>
    <xf numFmtId="4" fontId="1" fillId="7" borderId="4" xfId="0" applyNumberFormat="1" applyFont="1" applyFill="1" applyBorder="1"/>
    <xf numFmtId="0" fontId="1" fillId="7" borderId="9" xfId="0" applyFont="1" applyFill="1" applyBorder="1"/>
    <xf numFmtId="3" fontId="1" fillId="7" borderId="3" xfId="0" applyNumberFormat="1" applyFont="1" applyFill="1" applyBorder="1"/>
    <xf numFmtId="3" fontId="1" fillId="7" borderId="10" xfId="0" applyNumberFormat="1" applyFont="1" applyFill="1" applyBorder="1"/>
    <xf numFmtId="3" fontId="0" fillId="7" borderId="4" xfId="0" applyNumberFormat="1" applyFill="1" applyBorder="1"/>
    <xf numFmtId="3" fontId="1" fillId="0" borderId="4" xfId="0" applyNumberFormat="1" applyFont="1" applyBorder="1"/>
    <xf numFmtId="0" fontId="0" fillId="5" borderId="7" xfId="0" applyFill="1" applyBorder="1"/>
    <xf numFmtId="17" fontId="1" fillId="5" borderId="8" xfId="0" applyNumberFormat="1" applyFont="1" applyFill="1" applyBorder="1"/>
    <xf numFmtId="17" fontId="1" fillId="5" borderId="6" xfId="0" applyNumberFormat="1" applyFont="1" applyFill="1" applyBorder="1"/>
    <xf numFmtId="0" fontId="1" fillId="0" borderId="4" xfId="0" applyFont="1" applyBorder="1"/>
    <xf numFmtId="0" fontId="2" fillId="0" borderId="11" xfId="0" applyFont="1" applyBorder="1"/>
    <xf numFmtId="9" fontId="2" fillId="0" borderId="0" xfId="1" applyFont="1" applyBorder="1"/>
    <xf numFmtId="9" fontId="0" fillId="0" borderId="0" xfId="1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Border="1"/>
    <xf numFmtId="9" fontId="0" fillId="0" borderId="0" xfId="0" applyNumberFormat="1" applyBorder="1"/>
    <xf numFmtId="0" fontId="2" fillId="0" borderId="0" xfId="0" applyFont="1" applyBorder="1"/>
    <xf numFmtId="9" fontId="2" fillId="0" borderId="0" xfId="0" applyNumberFormat="1" applyFont="1" applyBorder="1"/>
    <xf numFmtId="0" fontId="16" fillId="5" borderId="3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7" fillId="8" borderId="0" xfId="0" applyFont="1" applyFill="1" applyAlignment="1">
      <alignment vertical="top"/>
    </xf>
    <xf numFmtId="0" fontId="17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0" fillId="0" borderId="9" xfId="0" applyBorder="1"/>
    <xf numFmtId="0" fontId="18" fillId="0" borderId="0" xfId="0" applyFont="1" applyBorder="1" applyAlignment="1">
      <alignment horizontal="center"/>
    </xf>
    <xf numFmtId="0" fontId="2" fillId="0" borderId="12" xfId="0" applyFont="1" applyBorder="1"/>
    <xf numFmtId="3" fontId="0" fillId="0" borderId="6" xfId="0" applyNumberFormat="1" applyBorder="1"/>
    <xf numFmtId="0" fontId="2" fillId="0" borderId="13" xfId="0" applyFont="1" applyBorder="1"/>
    <xf numFmtId="0" fontId="2" fillId="0" borderId="14" xfId="0" applyFont="1" applyBorder="1"/>
    <xf numFmtId="0" fontId="6" fillId="0" borderId="0" xfId="0" applyFont="1" applyAlignment="1"/>
    <xf numFmtId="0" fontId="16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16" fillId="0" borderId="0" xfId="0" applyFont="1" applyAlignment="1"/>
    <xf numFmtId="0" fontId="0" fillId="0" borderId="0" xfId="0" applyFont="1" applyBorder="1"/>
    <xf numFmtId="0" fontId="0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INTEREST COVERAGE RATIO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DATA!$B$51</c:f>
              <c:strCache>
                <c:ptCount val="1"/>
                <c:pt idx="0">
                  <c:v>Appolo tubes ltd.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DATA!$A$52:$A$58</c:f>
              <c:numCache>
                <c:formatCode>General</c:formatCode>
                <c:ptCount val="7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DATA!$B$52:$B$58</c:f>
              <c:numCache>
                <c:formatCode>General</c:formatCode>
                <c:ptCount val="7"/>
                <c:pt idx="1">
                  <c:v>377</c:v>
                </c:pt>
                <c:pt idx="2">
                  <c:v>927</c:v>
                </c:pt>
                <c:pt idx="3">
                  <c:v>1536</c:v>
                </c:pt>
                <c:pt idx="4">
                  <c:v>1388</c:v>
                </c:pt>
                <c:pt idx="5">
                  <c:v>965</c:v>
                </c:pt>
                <c:pt idx="6">
                  <c:v>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3-4C68-8A06-32DDC526E71E}"/>
            </c:ext>
          </c:extLst>
        </c:ser>
        <c:ser>
          <c:idx val="2"/>
          <c:order val="2"/>
          <c:tx>
            <c:strRef>
              <c:f>DATA!$D$51</c:f>
              <c:strCache>
                <c:ptCount val="1"/>
                <c:pt idx="0">
                  <c:v>sail ltd.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DATA!$A$52:$A$58</c:f>
              <c:numCache>
                <c:formatCode>General</c:formatCode>
                <c:ptCount val="7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DATA!$D$52:$D$58</c:f>
              <c:numCache>
                <c:formatCode>General</c:formatCode>
                <c:ptCount val="7"/>
                <c:pt idx="1">
                  <c:v>195</c:v>
                </c:pt>
                <c:pt idx="2">
                  <c:v>356</c:v>
                </c:pt>
                <c:pt idx="3">
                  <c:v>1059</c:v>
                </c:pt>
                <c:pt idx="4">
                  <c:v>242</c:v>
                </c:pt>
                <c:pt idx="5">
                  <c:v>246</c:v>
                </c:pt>
                <c:pt idx="6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3-4C68-8A06-32DDC526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616848"/>
        <c:axId val="14406245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DATA!$C$51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DATA!$A$52:$A$58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DATA!$C$52:$C$58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7B3-4C68-8A06-32DDC526E71E}"/>
                  </c:ext>
                </c:extLst>
              </c15:ser>
            </c15:filteredLineSeries>
          </c:ext>
        </c:extLst>
      </c:lineChart>
      <c:catAx>
        <c:axId val="144061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24528"/>
        <c:crosses val="autoZero"/>
        <c:auto val="1"/>
        <c:lblAlgn val="ctr"/>
        <c:lblOffset val="100"/>
        <c:noMultiLvlLbl val="0"/>
      </c:catAx>
      <c:valAx>
        <c:axId val="144062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1684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</a:t>
            </a:r>
            <a:r>
              <a:rPr lang="en-US" baseline="0"/>
              <a:t> ASSET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DATA!$B$60:$B$61</c:f>
              <c:strCache>
                <c:ptCount val="2"/>
                <c:pt idx="0">
                  <c:v>debt asset ratio</c:v>
                </c:pt>
                <c:pt idx="1">
                  <c:v>Appolo tubes ltd.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DATA!$A$62:$A$67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DATA!$B$62:$B$67</c:f>
              <c:numCache>
                <c:formatCode>General</c:formatCode>
                <c:ptCount val="6"/>
                <c:pt idx="0">
                  <c:v>26</c:v>
                </c:pt>
                <c:pt idx="1">
                  <c:v>21</c:v>
                </c:pt>
                <c:pt idx="2">
                  <c:v>14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1-4660-A369-CA4FF5C88A48}"/>
            </c:ext>
          </c:extLst>
        </c:ser>
        <c:ser>
          <c:idx val="2"/>
          <c:order val="2"/>
          <c:tx>
            <c:strRef>
              <c:f>DATA!$D$60:$D$61</c:f>
              <c:strCache>
                <c:ptCount val="2"/>
                <c:pt idx="0">
                  <c:v>debt asset ratio</c:v>
                </c:pt>
                <c:pt idx="1">
                  <c:v>sail ltd.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DATA!$A$62:$A$67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DATA!$D$62:$D$67</c:f>
              <c:numCache>
                <c:formatCode>General</c:formatCode>
                <c:ptCount val="6"/>
                <c:pt idx="0">
                  <c:v>43</c:v>
                </c:pt>
                <c:pt idx="1">
                  <c:v>32</c:v>
                </c:pt>
                <c:pt idx="2">
                  <c:v>19</c:v>
                </c:pt>
                <c:pt idx="3">
                  <c:v>14</c:v>
                </c:pt>
                <c:pt idx="4">
                  <c:v>9</c:v>
                </c:pt>
                <c:pt idx="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1-4660-A369-CA4FF5C88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345920"/>
        <c:axId val="15023416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DATA!$C$60:$C$61</c15:sqref>
                        </c15:formulaRef>
                      </c:ext>
                    </c:extLst>
                    <c:strCache>
                      <c:ptCount val="2"/>
                      <c:pt idx="0">
                        <c:v>debt asset ratio</c:v>
                      </c:pt>
                      <c:pt idx="1">
                        <c:v>Appolo tubes ltd.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DATA!$A$62:$A$67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DATA!$C$62:$C$67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CE1-4660-A369-CA4FF5C88A48}"/>
                  </c:ext>
                </c:extLst>
              </c15:ser>
            </c15:filteredLineSeries>
          </c:ext>
        </c:extLst>
      </c:lineChart>
      <c:catAx>
        <c:axId val="150234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341600"/>
        <c:crosses val="autoZero"/>
        <c:auto val="1"/>
        <c:lblAlgn val="ctr"/>
        <c:lblOffset val="100"/>
        <c:noMultiLvlLbl val="0"/>
      </c:catAx>
      <c:valAx>
        <c:axId val="15023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34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</a:t>
            </a:r>
            <a:r>
              <a:rPr lang="en-US" baseline="0"/>
              <a:t> EQUITY RATIO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DATA!$B$41:$B$43</c:f>
              <c:strCache>
                <c:ptCount val="3"/>
                <c:pt idx="0">
                  <c:v>APPOLO TUBES LTD.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DATA!$A$44:$A$49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DATA!$B$44:$B$49</c:f>
              <c:numCache>
                <c:formatCode>General</c:formatCode>
                <c:ptCount val="6"/>
                <c:pt idx="0">
                  <c:v>62</c:v>
                </c:pt>
                <c:pt idx="1">
                  <c:v>39</c:v>
                </c:pt>
                <c:pt idx="2">
                  <c:v>27</c:v>
                </c:pt>
                <c:pt idx="3">
                  <c:v>17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5-483C-99EE-37AA1FE0810D}"/>
            </c:ext>
          </c:extLst>
        </c:ser>
        <c:ser>
          <c:idx val="2"/>
          <c:order val="2"/>
          <c:tx>
            <c:strRef>
              <c:f>DATA!$D$41:$D$43</c:f>
              <c:strCache>
                <c:ptCount val="3"/>
                <c:pt idx="0">
                  <c:v>SAIL LTD.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DATA!$A$44:$A$49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DATA!$D$44:$D$49</c:f>
              <c:numCache>
                <c:formatCode>General</c:formatCode>
                <c:ptCount val="6"/>
                <c:pt idx="0">
                  <c:v>130</c:v>
                </c:pt>
                <c:pt idx="1">
                  <c:v>83</c:v>
                </c:pt>
                <c:pt idx="2">
                  <c:v>38</c:v>
                </c:pt>
                <c:pt idx="3">
                  <c:v>26</c:v>
                </c:pt>
                <c:pt idx="4">
                  <c:v>18</c:v>
                </c:pt>
                <c:pt idx="5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C5-483C-99EE-37AA1FE08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631248"/>
        <c:axId val="14406149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DATA!$C$41:$C$43</c15:sqref>
                        </c15:formulaRef>
                      </c:ext>
                    </c:extLst>
                    <c:strCache>
                      <c:ptCount val="3"/>
                      <c:pt idx="0">
                        <c:v>APPOLO TUBES LTD.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DATA!$A$44:$A$49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DATA!$C$44:$C$49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3C5-483C-99EE-37AA1FE0810D}"/>
                  </c:ext>
                </c:extLst>
              </c15:ser>
            </c15:filteredLineSeries>
          </c:ext>
        </c:extLst>
      </c:lineChart>
      <c:catAx>
        <c:axId val="144063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14928"/>
        <c:crosses val="autoZero"/>
        <c:auto val="1"/>
        <c:lblAlgn val="ctr"/>
        <c:lblOffset val="100"/>
        <c:noMultiLvlLbl val="0"/>
      </c:catAx>
      <c:valAx>
        <c:axId val="14406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3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3</xdr:row>
      <xdr:rowOff>25400</xdr:rowOff>
    </xdr:from>
    <xdr:to>
      <xdr:col>14</xdr:col>
      <xdr:colOff>400050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9EA1B-F6E7-402B-81C7-655CEB561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63500</xdr:colOff>
      <xdr:row>2</xdr:row>
      <xdr:rowOff>184150</xdr:rowOff>
    </xdr:from>
    <xdr:to>
      <xdr:col>23</xdr:col>
      <xdr:colOff>38100</xdr:colOff>
      <xdr:row>17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291028-B7A0-4750-B642-C128A17C9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184150</xdr:colOff>
      <xdr:row>3</xdr:row>
      <xdr:rowOff>50800</xdr:rowOff>
    </xdr:from>
    <xdr:to>
      <xdr:col>8</xdr:col>
      <xdr:colOff>95250</xdr:colOff>
      <xdr:row>17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AA0F52-50D8-4425-857E-00C48033D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9FBB-9097-489D-BE63-EF2F346A2538}">
  <dimension ref="A1:W67"/>
  <sheetViews>
    <sheetView workbookViewId="0">
      <selection activeCell="J11" sqref="J11"/>
    </sheetView>
  </sheetViews>
  <sheetFormatPr defaultRowHeight="14.5" x14ac:dyDescent="0.35"/>
  <cols>
    <col min="1" max="1" width="26.7265625" customWidth="1"/>
    <col min="2" max="2" width="13.08984375" customWidth="1"/>
    <col min="12" max="12" width="21.90625" bestFit="1" customWidth="1"/>
    <col min="13" max="13" width="23.6328125" customWidth="1"/>
  </cols>
  <sheetData>
    <row r="1" spans="1:23" x14ac:dyDescent="0.35">
      <c r="A1" s="1"/>
      <c r="B1" s="1"/>
      <c r="C1" s="1"/>
      <c r="D1" s="1"/>
      <c r="E1" s="1"/>
      <c r="F1" s="1"/>
      <c r="G1" s="1"/>
    </row>
    <row r="2" spans="1:23" x14ac:dyDescent="0.35">
      <c r="A2" s="1"/>
      <c r="B2" s="1"/>
      <c r="C2" s="1"/>
      <c r="D2" s="1"/>
      <c r="E2" s="1"/>
      <c r="F2" s="1"/>
      <c r="G2" s="1"/>
    </row>
    <row r="3" spans="1:23" x14ac:dyDescent="0.35">
      <c r="A3" s="1"/>
      <c r="B3" s="1"/>
      <c r="C3" s="1"/>
      <c r="D3" s="1"/>
      <c r="E3" s="1"/>
      <c r="F3" s="1"/>
      <c r="G3" s="1"/>
      <c r="Q3" s="95"/>
      <c r="R3" s="95"/>
      <c r="S3" s="95"/>
      <c r="T3" s="95"/>
      <c r="U3" s="95"/>
      <c r="V3" s="95"/>
      <c r="W3" s="85"/>
    </row>
    <row r="4" spans="1:23" ht="19" thickBot="1" x14ac:dyDescent="0.5">
      <c r="A4" s="94" t="s">
        <v>0</v>
      </c>
      <c r="B4" s="94"/>
      <c r="C4" s="94"/>
      <c r="D4" s="94"/>
      <c r="E4" s="94"/>
      <c r="F4" s="94"/>
      <c r="G4" s="1"/>
      <c r="M4" s="87"/>
      <c r="N4" s="99" t="s">
        <v>15</v>
      </c>
      <c r="O4" s="99"/>
      <c r="P4" s="99"/>
      <c r="Q4" s="99"/>
      <c r="R4" s="99"/>
      <c r="S4" s="99"/>
      <c r="T4" s="99"/>
      <c r="U4" s="99"/>
      <c r="V4" s="99"/>
    </row>
    <row r="5" spans="1:23" ht="16" thickBot="1" x14ac:dyDescent="0.4">
      <c r="A5" s="5"/>
      <c r="B5" s="6">
        <v>2020</v>
      </c>
      <c r="C5" s="6">
        <v>2021</v>
      </c>
      <c r="D5" s="6">
        <v>2022</v>
      </c>
      <c r="E5" s="6">
        <v>2023</v>
      </c>
      <c r="F5" s="6">
        <v>2024</v>
      </c>
      <c r="G5" s="6">
        <v>2025</v>
      </c>
      <c r="H5" s="4" t="s">
        <v>1</v>
      </c>
      <c r="L5" s="9"/>
      <c r="M5" s="100"/>
      <c r="N5" s="97">
        <v>2020</v>
      </c>
      <c r="O5" s="96">
        <v>2021</v>
      </c>
      <c r="P5" s="96">
        <v>2022</v>
      </c>
      <c r="Q5" s="96">
        <v>2023</v>
      </c>
      <c r="R5" s="96">
        <v>2024</v>
      </c>
      <c r="S5" s="96">
        <v>2025</v>
      </c>
      <c r="T5" s="98" t="s">
        <v>1</v>
      </c>
    </row>
    <row r="6" spans="1:23" ht="15.5" x14ac:dyDescent="0.35">
      <c r="A6" s="2" t="s">
        <v>2</v>
      </c>
      <c r="B6" s="8">
        <f t="shared" ref="B6:G6" si="0">B7/B8</f>
        <v>0.61504424778761058</v>
      </c>
      <c r="C6" s="8">
        <f t="shared" si="0"/>
        <v>0.39403794037940382</v>
      </c>
      <c r="D6" s="8">
        <f t="shared" si="0"/>
        <v>0.27453523562472981</v>
      </c>
      <c r="E6" s="8">
        <f t="shared" si="0"/>
        <v>0.17095158597662771</v>
      </c>
      <c r="F6" s="8">
        <f t="shared" si="0"/>
        <v>0.12326485285952249</v>
      </c>
      <c r="G6" s="8">
        <f t="shared" si="0"/>
        <v>7.3266463148713476E-2</v>
      </c>
      <c r="L6" s="9"/>
      <c r="M6" s="102" t="s">
        <v>2</v>
      </c>
      <c r="N6" s="12">
        <f t="shared" ref="N6:S6" si="1">N7/N8</f>
        <v>1.3039194430391945</v>
      </c>
      <c r="O6" s="13">
        <f t="shared" si="1"/>
        <v>0.82976193097980488</v>
      </c>
      <c r="P6" s="13">
        <f t="shared" si="1"/>
        <v>0.38090762620837809</v>
      </c>
      <c r="Q6" s="13">
        <f t="shared" si="1"/>
        <v>0.26333466727646926</v>
      </c>
      <c r="R6" s="13">
        <f t="shared" si="1"/>
        <v>0.17990663745117519</v>
      </c>
      <c r="S6" s="13">
        <f t="shared" si="1"/>
        <v>1.5948990090431581</v>
      </c>
      <c r="T6" s="4"/>
    </row>
    <row r="7" spans="1:23" ht="15.5" x14ac:dyDescent="0.35">
      <c r="A7" s="2" t="s">
        <v>3</v>
      </c>
      <c r="B7">
        <v>834</v>
      </c>
      <c r="C7">
        <v>727</v>
      </c>
      <c r="D7" s="1">
        <v>635</v>
      </c>
      <c r="E7" s="1">
        <v>512</v>
      </c>
      <c r="F7" s="1">
        <v>444</v>
      </c>
      <c r="G7" s="1">
        <v>336</v>
      </c>
      <c r="L7" s="9"/>
      <c r="M7" s="103" t="s">
        <v>3</v>
      </c>
      <c r="N7" s="10">
        <v>54127</v>
      </c>
      <c r="O7" s="10">
        <v>37677</v>
      </c>
      <c r="P7" s="10">
        <v>22696</v>
      </c>
      <c r="Q7" s="10">
        <v>18425</v>
      </c>
      <c r="R7" s="10">
        <v>13219</v>
      </c>
      <c r="S7" s="10">
        <v>58906</v>
      </c>
      <c r="T7" s="4"/>
    </row>
    <row r="8" spans="1:23" ht="15.5" x14ac:dyDescent="0.35">
      <c r="A8" s="2" t="s">
        <v>4</v>
      </c>
      <c r="B8">
        <v>1356</v>
      </c>
      <c r="C8">
        <v>1845</v>
      </c>
      <c r="D8">
        <v>2313</v>
      </c>
      <c r="E8">
        <v>2995</v>
      </c>
      <c r="F8">
        <v>3602</v>
      </c>
      <c r="G8" s="1">
        <v>4586</v>
      </c>
      <c r="L8" s="9"/>
      <c r="M8" s="103" t="s">
        <v>4</v>
      </c>
      <c r="N8" s="10">
        <v>41511</v>
      </c>
      <c r="O8" s="10">
        <v>45407</v>
      </c>
      <c r="P8" s="10">
        <v>59584</v>
      </c>
      <c r="Q8" s="10">
        <v>69968</v>
      </c>
      <c r="R8" s="10">
        <v>73477</v>
      </c>
      <c r="S8" s="10">
        <v>36934</v>
      </c>
      <c r="T8" s="4"/>
    </row>
    <row r="9" spans="1:23" ht="15.5" x14ac:dyDescent="0.35">
      <c r="A9" s="2"/>
      <c r="L9" s="9"/>
      <c r="M9" s="103"/>
      <c r="T9" s="4"/>
    </row>
    <row r="10" spans="1:23" ht="15.5" x14ac:dyDescent="0.35">
      <c r="A10" s="2" t="s">
        <v>5</v>
      </c>
      <c r="B10" s="8">
        <f t="shared" ref="B10:G10" si="2">B11/B12</f>
        <v>3.7663551401869158</v>
      </c>
      <c r="C10" s="8">
        <f t="shared" si="2"/>
        <v>9.2727272727272734</v>
      </c>
      <c r="D10" s="8">
        <f t="shared" si="2"/>
        <v>15.363636363636363</v>
      </c>
      <c r="E10" s="8">
        <f t="shared" si="2"/>
        <v>13.880597014925373</v>
      </c>
      <c r="F10" s="8">
        <f t="shared" si="2"/>
        <v>9.6548672566371678</v>
      </c>
      <c r="G10" s="8">
        <f t="shared" si="2"/>
        <v>8.2180451127819545</v>
      </c>
      <c r="L10" s="9"/>
      <c r="M10" s="103" t="s">
        <v>5</v>
      </c>
      <c r="N10" s="8">
        <f t="shared" ref="N10:S10" si="3">N11/N12</f>
        <v>1.9469457986808145</v>
      </c>
      <c r="O10" s="8">
        <f t="shared" si="3"/>
        <v>3.5580404685835996</v>
      </c>
      <c r="P10" s="8">
        <f t="shared" si="3"/>
        <v>10.594817432273263</v>
      </c>
      <c r="Q10" s="8">
        <f t="shared" si="3"/>
        <v>2.4197349042709866</v>
      </c>
      <c r="R10" s="8">
        <f t="shared" si="3"/>
        <v>2.6418755052546485</v>
      </c>
      <c r="S10" s="8">
        <f t="shared" si="3"/>
        <v>2.1643394199785178</v>
      </c>
      <c r="T10" s="4"/>
    </row>
    <row r="11" spans="1:23" ht="15.5" x14ac:dyDescent="0.35">
      <c r="A11" s="2" t="s">
        <v>6</v>
      </c>
      <c r="B11">
        <v>403</v>
      </c>
      <c r="C11">
        <v>612</v>
      </c>
      <c r="D11">
        <v>676</v>
      </c>
      <c r="E11">
        <v>930</v>
      </c>
      <c r="F11">
        <v>1091</v>
      </c>
      <c r="G11">
        <v>1093</v>
      </c>
      <c r="L11" s="9"/>
      <c r="M11" s="103" t="s">
        <v>6</v>
      </c>
      <c r="N11">
        <v>6789</v>
      </c>
      <c r="O11">
        <v>10023</v>
      </c>
      <c r="P11">
        <v>17990</v>
      </c>
      <c r="Q11">
        <v>4929</v>
      </c>
      <c r="R11">
        <v>6536</v>
      </c>
      <c r="S11">
        <v>6045</v>
      </c>
      <c r="T11" s="4"/>
    </row>
    <row r="12" spans="1:23" ht="15.5" x14ac:dyDescent="0.35">
      <c r="A12" s="2" t="s">
        <v>7</v>
      </c>
      <c r="B12">
        <v>107</v>
      </c>
      <c r="C12">
        <v>66</v>
      </c>
      <c r="D12">
        <v>44</v>
      </c>
      <c r="E12">
        <v>67</v>
      </c>
      <c r="F12">
        <v>113</v>
      </c>
      <c r="G12">
        <v>133</v>
      </c>
      <c r="L12" s="9"/>
      <c r="M12" s="103" t="s">
        <v>7</v>
      </c>
      <c r="N12">
        <v>3487</v>
      </c>
      <c r="O12">
        <v>2817</v>
      </c>
      <c r="P12">
        <v>1698</v>
      </c>
      <c r="Q12">
        <v>2037</v>
      </c>
      <c r="R12">
        <v>2474</v>
      </c>
      <c r="S12">
        <v>2793</v>
      </c>
      <c r="T12" s="4"/>
    </row>
    <row r="13" spans="1:23" ht="15.5" x14ac:dyDescent="0.35">
      <c r="A13" s="2"/>
      <c r="L13" s="9"/>
      <c r="M13" s="103"/>
      <c r="T13" s="4"/>
    </row>
    <row r="14" spans="1:23" ht="15.5" x14ac:dyDescent="0.35">
      <c r="A14" s="2" t="s">
        <v>8</v>
      </c>
      <c r="B14" s="8">
        <f t="shared" ref="B14:G14" si="4">B15/B16</f>
        <v>0.25535823637477034</v>
      </c>
      <c r="C14" s="8">
        <f t="shared" si="4"/>
        <v>0.21388643718740807</v>
      </c>
      <c r="D14" s="8">
        <f t="shared" si="4"/>
        <v>0.14263252470799639</v>
      </c>
      <c r="E14" s="8">
        <f t="shared" si="4"/>
        <v>8.7491455912508551E-2</v>
      </c>
      <c r="F14" s="8">
        <f t="shared" si="4"/>
        <v>6.1778210658132743E-2</v>
      </c>
      <c r="G14" s="8">
        <f t="shared" si="4"/>
        <v>4.4233807266982623E-2</v>
      </c>
      <c r="L14" s="9"/>
      <c r="M14" s="103" t="s">
        <v>8</v>
      </c>
      <c r="N14" s="8">
        <f t="shared" ref="N14:S14" si="5">N15/N16</f>
        <v>0.42553342033679775</v>
      </c>
      <c r="O14" s="8">
        <f t="shared" si="5"/>
        <v>0.3190532644593107</v>
      </c>
      <c r="P14" s="8">
        <f t="shared" si="5"/>
        <v>0.18853473554796854</v>
      </c>
      <c r="Q14" s="8">
        <f t="shared" si="5"/>
        <v>0.14088330198345339</v>
      </c>
      <c r="R14" s="8">
        <f t="shared" si="5"/>
        <v>9.3737147395441853E-2</v>
      </c>
      <c r="S14" s="8">
        <f t="shared" si="5"/>
        <v>0.43085767784783274</v>
      </c>
      <c r="T14" s="4"/>
    </row>
    <row r="15" spans="1:23" ht="15.5" x14ac:dyDescent="0.35">
      <c r="A15" s="2" t="s">
        <v>9</v>
      </c>
      <c r="B15">
        <v>834</v>
      </c>
      <c r="C15">
        <v>727</v>
      </c>
      <c r="D15" s="1">
        <v>635</v>
      </c>
      <c r="E15" s="1">
        <v>512</v>
      </c>
      <c r="F15" s="1">
        <v>444</v>
      </c>
      <c r="G15" s="1">
        <v>336</v>
      </c>
      <c r="L15" s="9"/>
      <c r="M15" s="103" t="s">
        <v>9</v>
      </c>
      <c r="N15" s="10">
        <v>54127</v>
      </c>
      <c r="O15" s="10">
        <v>37677</v>
      </c>
      <c r="P15" s="10">
        <v>22696</v>
      </c>
      <c r="Q15" s="10">
        <v>18425</v>
      </c>
      <c r="R15" s="10">
        <v>13219</v>
      </c>
      <c r="S15" s="10">
        <v>58906</v>
      </c>
      <c r="T15" s="4"/>
    </row>
    <row r="16" spans="1:23" ht="16" thickBot="1" x14ac:dyDescent="0.4">
      <c r="A16" s="3" t="s">
        <v>10</v>
      </c>
      <c r="B16" s="7">
        <v>3266</v>
      </c>
      <c r="C16" s="7">
        <v>3399</v>
      </c>
      <c r="D16" s="7">
        <v>4452</v>
      </c>
      <c r="E16" s="7">
        <v>5852</v>
      </c>
      <c r="F16" s="7">
        <v>7187</v>
      </c>
      <c r="G16" s="7">
        <v>7596</v>
      </c>
      <c r="M16" s="3" t="s">
        <v>10</v>
      </c>
      <c r="N16" s="101">
        <v>127198</v>
      </c>
      <c r="O16" s="11">
        <v>118090</v>
      </c>
      <c r="P16" s="11">
        <v>120381</v>
      </c>
      <c r="Q16" s="11">
        <v>130782</v>
      </c>
      <c r="R16" s="11">
        <v>141022</v>
      </c>
      <c r="S16" s="11">
        <v>136718</v>
      </c>
      <c r="T16" s="4"/>
    </row>
    <row r="19" spans="1:7" x14ac:dyDescent="0.35">
      <c r="A19" s="87"/>
      <c r="B19" s="87"/>
      <c r="C19" s="87"/>
      <c r="D19" s="87"/>
      <c r="E19" s="87"/>
      <c r="F19" s="87"/>
      <c r="G19" s="87"/>
    </row>
    <row r="20" spans="1:7" ht="15.5" x14ac:dyDescent="0.35">
      <c r="A20" s="89"/>
      <c r="B20" s="89"/>
      <c r="C20" s="89"/>
      <c r="D20" s="87"/>
      <c r="E20" s="87"/>
      <c r="F20" s="87"/>
      <c r="G20" s="87"/>
    </row>
    <row r="21" spans="1:7" ht="15.5" x14ac:dyDescent="0.35">
      <c r="A21" s="89"/>
      <c r="B21" s="90"/>
      <c r="C21" s="90"/>
      <c r="D21" s="89"/>
      <c r="E21" s="89"/>
      <c r="F21" s="89"/>
      <c r="G21" s="89"/>
    </row>
    <row r="22" spans="1:7" ht="15.5" x14ac:dyDescent="0.35">
      <c r="A22" s="89"/>
      <c r="B22" s="88"/>
      <c r="C22" s="88"/>
      <c r="D22" s="89"/>
      <c r="E22" s="89"/>
      <c r="F22" s="89"/>
      <c r="G22" s="82"/>
    </row>
    <row r="23" spans="1:7" ht="15.5" x14ac:dyDescent="0.35">
      <c r="A23" s="89"/>
      <c r="B23" s="88"/>
      <c r="C23" s="88"/>
      <c r="D23" s="87"/>
      <c r="E23" s="87"/>
      <c r="F23" s="87"/>
      <c r="G23" s="87"/>
    </row>
    <row r="24" spans="1:7" ht="15.5" x14ac:dyDescent="0.35">
      <c r="A24" s="89"/>
      <c r="B24" s="88"/>
      <c r="C24" s="88"/>
      <c r="D24" s="87"/>
      <c r="E24" s="87"/>
      <c r="F24" s="87"/>
      <c r="G24" s="87"/>
    </row>
    <row r="25" spans="1:7" ht="15.5" x14ac:dyDescent="0.35">
      <c r="A25" s="89"/>
      <c r="B25" s="88"/>
      <c r="C25" s="88"/>
      <c r="D25" s="87"/>
      <c r="E25" s="87"/>
      <c r="F25" s="87"/>
      <c r="G25" s="87"/>
    </row>
    <row r="26" spans="1:7" ht="15.5" x14ac:dyDescent="0.35">
      <c r="A26" s="89"/>
      <c r="B26" s="88"/>
      <c r="C26" s="88"/>
      <c r="D26" s="87"/>
      <c r="E26" s="87"/>
      <c r="F26" s="87"/>
      <c r="G26" s="87"/>
    </row>
    <row r="40" spans="1:7" ht="15" thickBot="1" x14ac:dyDescent="0.4"/>
    <row r="41" spans="1:7" ht="16" thickBot="1" x14ac:dyDescent="0.4">
      <c r="A41" s="5"/>
      <c r="B41" t="s">
        <v>140</v>
      </c>
      <c r="D41" t="s">
        <v>141</v>
      </c>
    </row>
    <row r="42" spans="1:7" ht="15.5" x14ac:dyDescent="0.35">
      <c r="A42" s="2"/>
      <c r="B42" s="6"/>
      <c r="C42" s="6"/>
      <c r="D42" s="6"/>
      <c r="E42" s="6"/>
      <c r="F42" s="6"/>
      <c r="G42" s="6"/>
    </row>
    <row r="43" spans="1:7" ht="15.5" x14ac:dyDescent="0.35">
      <c r="A43" s="2" t="s">
        <v>2</v>
      </c>
      <c r="B43" s="6"/>
    </row>
    <row r="44" spans="1:7" ht="15.5" x14ac:dyDescent="0.35">
      <c r="A44" s="6">
        <v>2020</v>
      </c>
      <c r="B44" s="6">
        <v>62</v>
      </c>
      <c r="D44">
        <v>130</v>
      </c>
    </row>
    <row r="45" spans="1:7" ht="15.5" x14ac:dyDescent="0.35">
      <c r="A45" s="6">
        <v>2021</v>
      </c>
      <c r="B45" s="6">
        <v>39</v>
      </c>
      <c r="D45">
        <v>83</v>
      </c>
    </row>
    <row r="46" spans="1:7" ht="15.5" x14ac:dyDescent="0.35">
      <c r="A46" s="6">
        <v>2022</v>
      </c>
      <c r="B46" s="6">
        <v>27</v>
      </c>
      <c r="D46">
        <v>38</v>
      </c>
    </row>
    <row r="47" spans="1:7" ht="15.5" x14ac:dyDescent="0.35">
      <c r="A47" s="6">
        <v>2023</v>
      </c>
      <c r="B47" s="6">
        <v>17</v>
      </c>
      <c r="D47">
        <v>26</v>
      </c>
    </row>
    <row r="48" spans="1:7" ht="15.5" x14ac:dyDescent="0.35">
      <c r="A48" s="6">
        <v>2024</v>
      </c>
      <c r="B48" s="6">
        <v>12</v>
      </c>
      <c r="D48">
        <v>18</v>
      </c>
    </row>
    <row r="49" spans="1:4" ht="15.5" x14ac:dyDescent="0.35">
      <c r="A49" s="6">
        <v>2025</v>
      </c>
      <c r="B49" s="80">
        <v>7</v>
      </c>
      <c r="D49">
        <v>159</v>
      </c>
    </row>
    <row r="51" spans="1:4" x14ac:dyDescent="0.35">
      <c r="A51" t="s">
        <v>142</v>
      </c>
      <c r="B51" t="s">
        <v>0</v>
      </c>
      <c r="D51" t="s">
        <v>143</v>
      </c>
    </row>
    <row r="53" spans="1:4" ht="15.5" x14ac:dyDescent="0.35">
      <c r="A53" s="6">
        <v>2020</v>
      </c>
      <c r="B53">
        <v>377</v>
      </c>
      <c r="D53">
        <v>195</v>
      </c>
    </row>
    <row r="54" spans="1:4" ht="15.5" x14ac:dyDescent="0.35">
      <c r="A54" s="6">
        <v>2021</v>
      </c>
      <c r="B54">
        <v>927</v>
      </c>
      <c r="D54">
        <v>356</v>
      </c>
    </row>
    <row r="55" spans="1:4" ht="15.5" x14ac:dyDescent="0.35">
      <c r="A55" s="6">
        <v>2022</v>
      </c>
      <c r="B55">
        <v>1536</v>
      </c>
      <c r="D55">
        <v>1059</v>
      </c>
    </row>
    <row r="56" spans="1:4" ht="15.5" x14ac:dyDescent="0.35">
      <c r="A56" s="6">
        <v>2023</v>
      </c>
      <c r="B56">
        <v>1388</v>
      </c>
      <c r="D56">
        <v>242</v>
      </c>
    </row>
    <row r="57" spans="1:4" ht="15.5" x14ac:dyDescent="0.35">
      <c r="A57" s="6">
        <v>2024</v>
      </c>
      <c r="B57">
        <v>965</v>
      </c>
      <c r="D57">
        <v>246</v>
      </c>
    </row>
    <row r="58" spans="1:4" ht="15.5" x14ac:dyDescent="0.35">
      <c r="A58" s="6">
        <v>2025</v>
      </c>
      <c r="B58">
        <v>822</v>
      </c>
      <c r="D58">
        <v>216</v>
      </c>
    </row>
    <row r="60" spans="1:4" x14ac:dyDescent="0.35">
      <c r="A60" t="s">
        <v>144</v>
      </c>
    </row>
    <row r="61" spans="1:4" x14ac:dyDescent="0.35">
      <c r="B61" t="s">
        <v>0</v>
      </c>
      <c r="D61" t="s">
        <v>143</v>
      </c>
    </row>
    <row r="62" spans="1:4" ht="15.5" x14ac:dyDescent="0.35">
      <c r="A62" s="6">
        <v>2020</v>
      </c>
      <c r="B62">
        <v>26</v>
      </c>
      <c r="D62">
        <v>43</v>
      </c>
    </row>
    <row r="63" spans="1:4" ht="15.5" x14ac:dyDescent="0.35">
      <c r="A63" s="6">
        <v>2021</v>
      </c>
      <c r="B63">
        <v>21</v>
      </c>
      <c r="D63">
        <v>32</v>
      </c>
    </row>
    <row r="64" spans="1:4" ht="15.5" x14ac:dyDescent="0.35">
      <c r="A64" s="6">
        <v>2022</v>
      </c>
      <c r="B64">
        <v>14</v>
      </c>
      <c r="D64">
        <v>19</v>
      </c>
    </row>
    <row r="65" spans="1:4" ht="15.5" x14ac:dyDescent="0.35">
      <c r="A65" s="6">
        <v>2023</v>
      </c>
      <c r="B65">
        <v>9</v>
      </c>
      <c r="D65">
        <v>14</v>
      </c>
    </row>
    <row r="66" spans="1:4" ht="15.5" x14ac:dyDescent="0.35">
      <c r="A66" s="6">
        <v>2024</v>
      </c>
      <c r="B66">
        <v>6</v>
      </c>
      <c r="D66">
        <v>9</v>
      </c>
    </row>
    <row r="67" spans="1:4" ht="15.5" x14ac:dyDescent="0.35">
      <c r="A67" s="6">
        <v>2025</v>
      </c>
      <c r="B67">
        <v>4</v>
      </c>
      <c r="D67">
        <v>43</v>
      </c>
    </row>
  </sheetData>
  <mergeCells count="3">
    <mergeCell ref="A4:F4"/>
    <mergeCell ref="Q3:W3"/>
    <mergeCell ref="N4:V4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F5C42D0-5BF9-4729-B181-1170889DA9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DATA!B6:G6</xm:f>
              <xm:sqref>H6</xm:sqref>
            </x14:sparkline>
            <x14:sparkline>
              <xm:f>DATA!B7:G7</xm:f>
              <xm:sqref>H7</xm:sqref>
            </x14:sparkline>
            <x14:sparkline>
              <xm:f>DATA!B8:G8</xm:f>
              <xm:sqref>H8</xm:sqref>
            </x14:sparkline>
            <x14:sparkline>
              <xm:f>DATA!B9:G9</xm:f>
              <xm:sqref>H9</xm:sqref>
            </x14:sparkline>
            <x14:sparkline>
              <xm:f>DATA!B10:G10</xm:f>
              <xm:sqref>H10</xm:sqref>
            </x14:sparkline>
            <x14:sparkline>
              <xm:f>DATA!B11:G11</xm:f>
              <xm:sqref>H11</xm:sqref>
            </x14:sparkline>
            <x14:sparkline>
              <xm:f>DATA!B12:G12</xm:f>
              <xm:sqref>H12</xm:sqref>
            </x14:sparkline>
            <x14:sparkline>
              <xm:f>DATA!B13:G13</xm:f>
              <xm:sqref>H13</xm:sqref>
            </x14:sparkline>
            <x14:sparkline>
              <xm:f>DATA!B14:G14</xm:f>
              <xm:sqref>H14</xm:sqref>
            </x14:sparkline>
            <x14:sparkline>
              <xm:f>DATA!B15:G15</xm:f>
              <xm:sqref>H15</xm:sqref>
            </x14:sparkline>
            <x14:sparkline>
              <xm:f>DATA!B16:G16</xm:f>
              <xm:sqref>H16</xm:sqref>
            </x14:sparkline>
          </x14:sparklines>
        </x14:sparklineGroup>
        <x14:sparklineGroup displayEmptyCellsAs="gap" xr2:uid="{19D23B80-4F38-4CB9-B430-5B58A908C6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DATA!N16:S16</xm:f>
              <xm:sqref>T16</xm:sqref>
            </x14:sparkline>
          </x14:sparklines>
        </x14:sparklineGroup>
        <x14:sparklineGroup displayEmptyCellsAs="gap" xr2:uid="{55EE7F95-0229-44CD-9044-85E077FBF0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DATA!N7:S7</xm:f>
              <xm:sqref>T6</xm:sqref>
            </x14:sparkline>
            <x14:sparkline>
              <xm:f>DATA!N8:S8</xm:f>
              <xm:sqref>T7</xm:sqref>
            </x14:sparkline>
            <x14:sparkline>
              <xm:f>DATA!N9:S9</xm:f>
              <xm:sqref>T8</xm:sqref>
            </x14:sparkline>
            <x14:sparkline>
              <xm:f>DATA!N10:S10</xm:f>
              <xm:sqref>T9</xm:sqref>
            </x14:sparkline>
            <x14:sparkline>
              <xm:f>DATA!N11:S11</xm:f>
              <xm:sqref>T10</xm:sqref>
            </x14:sparkline>
            <x14:sparkline>
              <xm:f>DATA!N12:S12</xm:f>
              <xm:sqref>T11</xm:sqref>
            </x14:sparkline>
            <x14:sparkline>
              <xm:f>DATA!N13:S13</xm:f>
              <xm:sqref>T12</xm:sqref>
            </x14:sparkline>
            <x14:sparkline>
              <xm:f>DATA!N14:S14</xm:f>
              <xm:sqref>T13</xm:sqref>
            </x14:sparkline>
            <x14:sparkline>
              <xm:f>DATA!N15:S15</xm:f>
              <xm:sqref>T14</xm:sqref>
            </x14:sparkline>
            <x14:sparkline>
              <xm:f>DATA!N16:S16</xm:f>
              <xm:sqref>T15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9C51-BAD2-408E-B107-445680882B8F}">
  <dimension ref="A1:P55"/>
  <sheetViews>
    <sheetView topLeftCell="A8" workbookViewId="0">
      <selection activeCell="A13" sqref="A13:F13"/>
    </sheetView>
  </sheetViews>
  <sheetFormatPr defaultRowHeight="14.5" x14ac:dyDescent="0.35"/>
  <cols>
    <col min="1" max="3" width="8.7265625" style="106"/>
    <col min="4" max="4" width="29.7265625" style="106" customWidth="1"/>
    <col min="5" max="16384" width="8.7265625" style="106"/>
  </cols>
  <sheetData>
    <row r="1" spans="1:10" ht="21" x14ac:dyDescent="0.5">
      <c r="A1" s="86" t="s">
        <v>11</v>
      </c>
      <c r="B1" s="86"/>
      <c r="C1" s="86"/>
      <c r="D1" s="86"/>
      <c r="E1" s="86"/>
      <c r="F1" s="86"/>
    </row>
    <row r="3" spans="1:10" ht="14.5" customHeight="1" x14ac:dyDescent="0.35">
      <c r="A3" s="106" t="s">
        <v>156</v>
      </c>
      <c r="B3" s="104"/>
      <c r="C3" s="104"/>
      <c r="D3" s="104"/>
      <c r="E3" s="104"/>
      <c r="F3" s="104"/>
      <c r="G3" s="104"/>
      <c r="H3" s="104"/>
      <c r="I3" s="104"/>
    </row>
    <row r="4" spans="1:10" ht="15.5" customHeight="1" x14ac:dyDescent="0.35">
      <c r="A4" s="106" t="s">
        <v>157</v>
      </c>
      <c r="B4" s="104"/>
      <c r="C4" s="104"/>
      <c r="D4" s="104"/>
      <c r="E4" s="104"/>
      <c r="F4" s="104"/>
      <c r="G4" s="104"/>
      <c r="H4" s="104"/>
      <c r="I4" s="104"/>
    </row>
    <row r="5" spans="1:10" ht="15.5" customHeight="1" x14ac:dyDescent="0.35">
      <c r="B5" s="104"/>
      <c r="C5" s="104"/>
      <c r="D5" s="104"/>
      <c r="E5" s="104"/>
      <c r="F5" s="104"/>
      <c r="G5" s="104"/>
      <c r="H5" s="104"/>
      <c r="I5" s="104"/>
    </row>
    <row r="6" spans="1:10" ht="15.5" customHeight="1" x14ac:dyDescent="0.35">
      <c r="A6" s="106" t="s">
        <v>158</v>
      </c>
      <c r="B6" s="104"/>
      <c r="C6" s="104"/>
      <c r="D6" s="104"/>
      <c r="E6" s="104"/>
      <c r="F6" s="104"/>
      <c r="G6" s="104"/>
      <c r="H6" s="104"/>
      <c r="I6" s="104"/>
    </row>
    <row r="7" spans="1:10" ht="15.5" customHeight="1" x14ac:dyDescent="0.35">
      <c r="A7" s="106" t="s">
        <v>159</v>
      </c>
      <c r="B7" s="104"/>
      <c r="C7" s="104"/>
      <c r="D7" s="104"/>
      <c r="E7" s="104"/>
      <c r="F7" s="104"/>
      <c r="G7" s="104"/>
      <c r="H7" s="104"/>
      <c r="I7" s="104"/>
    </row>
    <row r="8" spans="1:10" ht="15.5" customHeight="1" x14ac:dyDescent="0.35">
      <c r="B8" s="104"/>
      <c r="C8" s="104"/>
      <c r="D8" s="104"/>
      <c r="E8" s="104"/>
      <c r="F8" s="104"/>
      <c r="G8" s="104"/>
      <c r="H8" s="104"/>
      <c r="I8" s="104"/>
    </row>
    <row r="9" spans="1:10" ht="15.5" customHeight="1" x14ac:dyDescent="0.35">
      <c r="B9" s="104"/>
      <c r="C9" s="104"/>
      <c r="D9" s="104"/>
      <c r="E9" s="104"/>
      <c r="F9" s="104"/>
      <c r="G9" s="104"/>
      <c r="H9" s="104"/>
      <c r="I9" s="104"/>
    </row>
    <row r="10" spans="1:10" ht="15.5" customHeight="1" x14ac:dyDescent="0.35">
      <c r="B10" s="104"/>
      <c r="C10" s="104"/>
      <c r="D10" s="104"/>
      <c r="E10" s="104"/>
      <c r="F10" s="104"/>
      <c r="G10" s="104"/>
      <c r="H10" s="104"/>
      <c r="I10" s="104"/>
    </row>
    <row r="13" spans="1:10" ht="21" x14ac:dyDescent="0.5">
      <c r="A13" s="86" t="s">
        <v>12</v>
      </c>
      <c r="B13" s="86"/>
      <c r="C13" s="86"/>
      <c r="D13" s="86"/>
      <c r="E13" s="86"/>
      <c r="F13" s="86"/>
    </row>
    <row r="15" spans="1:10" ht="15.5" x14ac:dyDescent="0.35">
      <c r="A15" s="106" t="s">
        <v>160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15.5" x14ac:dyDescent="0.35">
      <c r="A16" s="106" t="s">
        <v>161</v>
      </c>
      <c r="B16" s="14"/>
      <c r="C16" s="14"/>
      <c r="D16" s="14"/>
      <c r="E16" s="14"/>
      <c r="F16" s="14"/>
      <c r="G16" s="14"/>
      <c r="H16" s="14"/>
      <c r="I16" s="14"/>
      <c r="J16" s="14"/>
    </row>
    <row r="17" spans="1:11" ht="15.5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07"/>
    </row>
    <row r="18" spans="1:11" x14ac:dyDescent="0.35">
      <c r="A18" s="106" t="s">
        <v>146</v>
      </c>
      <c r="K18" s="107"/>
    </row>
    <row r="19" spans="1:11" x14ac:dyDescent="0.35">
      <c r="A19" s="107"/>
      <c r="K19" s="107"/>
    </row>
    <row r="20" spans="1:11" x14ac:dyDescent="0.35">
      <c r="A20" s="107" t="s">
        <v>147</v>
      </c>
      <c r="K20" s="107"/>
    </row>
    <row r="21" spans="1:11" x14ac:dyDescent="0.35">
      <c r="A21" s="107" t="s">
        <v>148</v>
      </c>
      <c r="K21" s="107"/>
    </row>
    <row r="22" spans="1:11" x14ac:dyDescent="0.35">
      <c r="A22" s="107" t="s">
        <v>149</v>
      </c>
      <c r="K22" s="107"/>
    </row>
    <row r="23" spans="1:11" ht="14.5" customHeight="1" x14ac:dyDescent="0.35">
      <c r="A23" s="107" t="s">
        <v>162</v>
      </c>
      <c r="K23" s="107"/>
    </row>
    <row r="24" spans="1:11" x14ac:dyDescent="0.35">
      <c r="A24" s="106" t="s">
        <v>163</v>
      </c>
    </row>
    <row r="25" spans="1:11" x14ac:dyDescent="0.35">
      <c r="A25" s="107"/>
    </row>
    <row r="26" spans="1:11" ht="21" x14ac:dyDescent="0.5">
      <c r="A26" s="86" t="s">
        <v>13</v>
      </c>
      <c r="B26" s="86"/>
      <c r="C26" s="86"/>
      <c r="D26" s="86"/>
      <c r="K26" s="14"/>
    </row>
    <row r="28" spans="1:11" ht="15.5" x14ac:dyDescent="0.35">
      <c r="A28" s="106" t="s">
        <v>150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1" ht="15.5" x14ac:dyDescent="0.35">
      <c r="A29" s="107"/>
      <c r="B29" s="14"/>
      <c r="C29" s="14"/>
      <c r="D29" s="14"/>
      <c r="E29" s="14"/>
      <c r="F29" s="14"/>
      <c r="G29" s="14"/>
      <c r="H29" s="14"/>
      <c r="I29" s="14"/>
      <c r="J29" s="14"/>
    </row>
    <row r="30" spans="1:11" ht="15.5" x14ac:dyDescent="0.35">
      <c r="A30" s="107" t="s">
        <v>151</v>
      </c>
      <c r="B30" s="14"/>
      <c r="C30" s="14"/>
      <c r="D30" s="14"/>
      <c r="E30" s="14"/>
      <c r="F30" s="14"/>
      <c r="G30" s="14"/>
      <c r="H30" s="14"/>
      <c r="I30" s="14"/>
      <c r="J30" s="14"/>
    </row>
    <row r="31" spans="1:11" ht="15.5" x14ac:dyDescent="0.35">
      <c r="A31" s="107" t="s">
        <v>152</v>
      </c>
      <c r="C31" s="14"/>
      <c r="D31" s="14"/>
      <c r="E31" s="14"/>
      <c r="F31" s="14"/>
      <c r="G31" s="14"/>
      <c r="H31" s="14"/>
      <c r="I31" s="14"/>
      <c r="J31" s="14"/>
    </row>
    <row r="32" spans="1:11" ht="15.5" x14ac:dyDescent="0.35">
      <c r="A32" s="106" t="s">
        <v>153</v>
      </c>
      <c r="C32" s="14"/>
      <c r="D32" s="14"/>
      <c r="E32" s="14"/>
      <c r="F32" s="14"/>
      <c r="G32" s="14"/>
      <c r="H32" s="14"/>
      <c r="I32" s="14"/>
      <c r="J32" s="14"/>
    </row>
    <row r="33" spans="1:16" ht="21" x14ac:dyDescent="0.5">
      <c r="A33" s="106" t="s">
        <v>154</v>
      </c>
      <c r="B33" s="108"/>
      <c r="C33" s="108"/>
      <c r="D33" s="108"/>
      <c r="M33" s="105"/>
      <c r="N33" s="105"/>
      <c r="O33" s="105"/>
      <c r="P33" s="105"/>
    </row>
    <row r="34" spans="1:16" x14ac:dyDescent="0.35">
      <c r="A34" s="106" t="s">
        <v>164</v>
      </c>
    </row>
    <row r="35" spans="1:16" ht="15.5" x14ac:dyDescent="0.35">
      <c r="A35" s="14"/>
      <c r="B35" s="14"/>
      <c r="C35" s="14"/>
      <c r="D35" s="14"/>
      <c r="E35" s="14"/>
      <c r="F35" s="14"/>
      <c r="G35" s="14"/>
      <c r="H35" s="14"/>
    </row>
    <row r="36" spans="1:16" ht="15.5" x14ac:dyDescent="0.35">
      <c r="A36" s="106" t="s">
        <v>155</v>
      </c>
      <c r="B36" s="14"/>
      <c r="C36" s="14"/>
      <c r="D36" s="14"/>
      <c r="E36" s="14"/>
      <c r="F36" s="14"/>
      <c r="G36" s="14"/>
      <c r="H36" s="14"/>
    </row>
    <row r="37" spans="1:16" ht="15.5" x14ac:dyDescent="0.35">
      <c r="A37" s="107"/>
      <c r="B37" s="14"/>
      <c r="C37" s="14"/>
      <c r="D37" s="14"/>
      <c r="E37" s="14"/>
      <c r="F37" s="14"/>
      <c r="G37" s="14"/>
      <c r="H37" s="14"/>
    </row>
    <row r="38" spans="1:16" ht="15.5" x14ac:dyDescent="0.35">
      <c r="A38" s="107" t="s">
        <v>165</v>
      </c>
      <c r="B38" s="14"/>
      <c r="C38" s="14"/>
      <c r="D38" s="14"/>
      <c r="E38" s="14"/>
      <c r="F38" s="14"/>
      <c r="G38" s="14"/>
      <c r="H38" s="14"/>
    </row>
    <row r="39" spans="1:16" ht="15.5" x14ac:dyDescent="0.35">
      <c r="A39" s="107" t="s">
        <v>166</v>
      </c>
      <c r="B39" s="14"/>
      <c r="C39" s="14"/>
      <c r="D39" s="14"/>
      <c r="E39" s="14"/>
      <c r="F39" s="14"/>
      <c r="G39" s="14"/>
      <c r="H39" s="14"/>
    </row>
    <row r="40" spans="1:16" ht="15.5" x14ac:dyDescent="0.35">
      <c r="B40" s="14"/>
      <c r="C40" s="14"/>
      <c r="D40" s="14"/>
      <c r="E40" s="14"/>
      <c r="F40" s="14"/>
      <c r="G40" s="14"/>
      <c r="H40" s="14"/>
    </row>
    <row r="41" spans="1:16" ht="21" x14ac:dyDescent="0.5">
      <c r="A41" s="86" t="s">
        <v>14</v>
      </c>
      <c r="B41" s="86"/>
      <c r="C41" s="86"/>
      <c r="D41" s="86"/>
      <c r="E41" s="14"/>
      <c r="F41" s="14"/>
      <c r="G41" s="14"/>
      <c r="H41" s="14"/>
    </row>
    <row r="42" spans="1:16" ht="15.5" x14ac:dyDescent="0.35">
      <c r="A42" s="14"/>
      <c r="B42" s="14"/>
      <c r="C42" s="14"/>
      <c r="D42" s="14"/>
      <c r="E42" s="14"/>
      <c r="F42" s="14"/>
      <c r="G42" s="14"/>
      <c r="H42" s="14"/>
    </row>
    <row r="43" spans="1:16" x14ac:dyDescent="0.35">
      <c r="A43" s="109" t="s">
        <v>167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</row>
    <row r="44" spans="1:16" x14ac:dyDescent="0.35">
      <c r="A44" s="110" t="s">
        <v>168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</row>
    <row r="45" spans="1:16" x14ac:dyDescent="0.35">
      <c r="A45" s="110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</row>
    <row r="46" spans="1:16" x14ac:dyDescent="0.35">
      <c r="A46" s="109" t="s">
        <v>169</v>
      </c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</row>
    <row r="47" spans="1:16" x14ac:dyDescent="0.35">
      <c r="A47" s="110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</row>
    <row r="48" spans="1:16" x14ac:dyDescent="0.35">
      <c r="A48" s="110" t="s">
        <v>170</v>
      </c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</row>
    <row r="49" spans="1:16" x14ac:dyDescent="0.35">
      <c r="A49" s="110" t="s">
        <v>171</v>
      </c>
      <c r="B49" s="109"/>
      <c r="C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</row>
    <row r="50" spans="1:16" x14ac:dyDescent="0.35">
      <c r="A50" s="110" t="s">
        <v>172</v>
      </c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</row>
    <row r="51" spans="1:16" x14ac:dyDescent="0.35">
      <c r="A51" s="110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</row>
    <row r="52" spans="1:16" x14ac:dyDescent="0.35">
      <c r="A52" s="109" t="s">
        <v>173</v>
      </c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</row>
    <row r="53" spans="1:16" x14ac:dyDescent="0.35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</row>
    <row r="54" spans="1:16" x14ac:dyDescent="0.35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</row>
    <row r="55" spans="1:16" x14ac:dyDescent="0.3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</row>
  </sheetData>
  <mergeCells count="5">
    <mergeCell ref="M33:P33"/>
    <mergeCell ref="A41:D41"/>
    <mergeCell ref="A1:F1"/>
    <mergeCell ref="A13:F13"/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9565-7C52-4C0B-BC6C-55ADD955C798}">
  <dimension ref="A1:J29"/>
  <sheetViews>
    <sheetView workbookViewId="0">
      <selection sqref="A1:J2"/>
    </sheetView>
  </sheetViews>
  <sheetFormatPr defaultRowHeight="14.5" x14ac:dyDescent="0.35"/>
  <cols>
    <col min="3" max="3" width="8.7265625" hidden="1" customWidth="1"/>
    <col min="6" max="6" width="15.08984375" customWidth="1"/>
    <col min="10" max="10" width="31.7265625" customWidth="1"/>
  </cols>
  <sheetData>
    <row r="1" spans="1:10" ht="18.5" customHeight="1" x14ac:dyDescent="0.35">
      <c r="A1" s="93" t="s">
        <v>145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x14ac:dyDescent="0.35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0" ht="15.5" x14ac:dyDescent="0.35">
      <c r="C3" s="2"/>
      <c r="D3" s="8"/>
      <c r="E3" s="8"/>
      <c r="F3" s="8"/>
      <c r="G3" s="8"/>
      <c r="H3" s="8"/>
      <c r="I3" s="8"/>
    </row>
    <row r="4" spans="1:10" ht="15.5" x14ac:dyDescent="0.35">
      <c r="E4" s="9"/>
      <c r="F4" s="9"/>
      <c r="G4" s="9"/>
      <c r="H4" s="9"/>
      <c r="I4" s="9"/>
      <c r="J4" s="9"/>
    </row>
    <row r="5" spans="1:10" x14ac:dyDescent="0.35">
      <c r="E5" s="15"/>
      <c r="F5" s="15"/>
      <c r="G5" s="15"/>
      <c r="H5" s="15"/>
      <c r="I5" s="15"/>
      <c r="J5" s="15"/>
    </row>
    <row r="9" spans="1:10" ht="15.5" x14ac:dyDescent="0.35">
      <c r="E9" s="83"/>
      <c r="F9" s="9"/>
      <c r="G9" s="9"/>
      <c r="H9" s="9"/>
      <c r="I9" s="9"/>
      <c r="J9" s="9"/>
    </row>
    <row r="10" spans="1:10" x14ac:dyDescent="0.35">
      <c r="E10" s="15"/>
      <c r="F10" s="15"/>
      <c r="G10" s="15"/>
      <c r="H10" s="15"/>
      <c r="I10" s="15"/>
      <c r="J10" s="15"/>
    </row>
    <row r="11" spans="1:10" x14ac:dyDescent="0.35">
      <c r="F11" s="84"/>
    </row>
    <row r="18" spans="4:10" ht="15.5" x14ac:dyDescent="0.35">
      <c r="E18" s="9"/>
      <c r="F18" s="9"/>
      <c r="G18" s="9"/>
      <c r="H18" s="9"/>
      <c r="I18" s="9"/>
      <c r="J18" s="9"/>
    </row>
    <row r="19" spans="4:10" ht="15.5" x14ac:dyDescent="0.35">
      <c r="D19" s="9"/>
      <c r="E19" s="81"/>
      <c r="F19" s="81"/>
      <c r="G19" s="81"/>
      <c r="H19" s="81"/>
      <c r="I19" s="81"/>
      <c r="J19" s="81"/>
    </row>
    <row r="20" spans="4:10" ht="15.5" x14ac:dyDescent="0.35">
      <c r="D20" s="9"/>
      <c r="E20" s="10"/>
      <c r="F20" s="10"/>
      <c r="G20" s="10"/>
      <c r="H20" s="10"/>
      <c r="I20" s="10"/>
      <c r="J20" s="10"/>
    </row>
    <row r="21" spans="4:10" ht="15.5" x14ac:dyDescent="0.35">
      <c r="D21" s="9"/>
      <c r="E21" s="10"/>
      <c r="F21" s="10"/>
      <c r="G21" s="10"/>
      <c r="H21" s="10"/>
      <c r="I21" s="10"/>
      <c r="J21" s="10"/>
    </row>
    <row r="22" spans="4:10" ht="15.5" x14ac:dyDescent="0.35">
      <c r="D22" s="9"/>
    </row>
    <row r="23" spans="4:10" ht="15.5" x14ac:dyDescent="0.35">
      <c r="D23" s="9"/>
      <c r="E23" s="82"/>
      <c r="F23" s="82"/>
      <c r="G23" s="82"/>
      <c r="H23" s="82"/>
      <c r="I23" s="82"/>
      <c r="J23" s="82"/>
    </row>
    <row r="24" spans="4:10" ht="15.5" x14ac:dyDescent="0.35">
      <c r="D24" s="9"/>
    </row>
    <row r="25" spans="4:10" ht="15.5" x14ac:dyDescent="0.35">
      <c r="D25" s="9"/>
    </row>
    <row r="26" spans="4:10" ht="15.5" x14ac:dyDescent="0.35">
      <c r="D26" s="9"/>
    </row>
    <row r="27" spans="4:10" ht="15.5" x14ac:dyDescent="0.35">
      <c r="D27" s="9"/>
      <c r="E27" s="82"/>
      <c r="F27" s="82"/>
      <c r="G27" s="82"/>
      <c r="H27" s="82"/>
      <c r="I27" s="82"/>
      <c r="J27" s="82"/>
    </row>
    <row r="28" spans="4:10" ht="15.5" x14ac:dyDescent="0.35">
      <c r="D28" s="9"/>
      <c r="E28" s="10"/>
      <c r="F28" s="10"/>
      <c r="G28" s="10"/>
      <c r="H28" s="10"/>
      <c r="I28" s="10"/>
      <c r="J28" s="10"/>
    </row>
    <row r="29" spans="4:10" ht="15.5" x14ac:dyDescent="0.35">
      <c r="D29" s="9"/>
      <c r="E29" s="10"/>
      <c r="F29" s="10"/>
      <c r="G29" s="10"/>
      <c r="H29" s="10"/>
      <c r="I29" s="10"/>
      <c r="J29" s="10"/>
    </row>
  </sheetData>
  <mergeCells count="1">
    <mergeCell ref="A1:J2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82C6EF8-52BB-4E94-935A-8C8A1E52EF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DASHBOARD!E20:J20</xm:f>
              <xm:sqref>K19</xm:sqref>
            </x14:sparkline>
            <x14:sparkline>
              <xm:f>DASHBOARD!E21:J21</xm:f>
              <xm:sqref>K20</xm:sqref>
            </x14:sparkline>
            <x14:sparkline>
              <xm:f>DASHBOARD!E22:J22</xm:f>
              <xm:sqref>K21</xm:sqref>
            </x14:sparkline>
            <x14:sparkline>
              <xm:f>DASHBOARD!E23:J23</xm:f>
              <xm:sqref>K22</xm:sqref>
            </x14:sparkline>
            <x14:sparkline>
              <xm:f>DASHBOARD!E24:J24</xm:f>
              <xm:sqref>K23</xm:sqref>
            </x14:sparkline>
            <x14:sparkline>
              <xm:f>DASHBOARD!E25:J25</xm:f>
              <xm:sqref>K24</xm:sqref>
            </x14:sparkline>
            <x14:sparkline>
              <xm:f>DASHBOARD!E26:J26</xm:f>
              <xm:sqref>K25</xm:sqref>
            </x14:sparkline>
            <x14:sparkline>
              <xm:f>DASHBOARD!E27:J27</xm:f>
              <xm:sqref>K26</xm:sqref>
            </x14:sparkline>
            <x14:sparkline>
              <xm:f>DASHBOARD!E28:J28</xm:f>
              <xm:sqref>K27</xm:sqref>
            </x14:sparkline>
            <x14:sparkline>
              <xm:f>DASHBOARD!E29:J29</xm:f>
              <xm:sqref>K28</xm:sqref>
            </x14:sparkline>
          </x14:sparklines>
        </x14:sparklineGroup>
        <x14:sparklineGroup displayEmptyCellsAs="gap" xr2:uid="{DA53FA5D-4437-48CC-813D-DD17E47498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DASHBOARD!E29:J29</xm:f>
              <xm:sqref>K29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3D78-31A4-4071-BE98-EBB0F5338763}">
  <dimension ref="A1:I28"/>
  <sheetViews>
    <sheetView workbookViewId="0">
      <selection sqref="A1:I1"/>
    </sheetView>
  </sheetViews>
  <sheetFormatPr defaultRowHeight="14.5" x14ac:dyDescent="0.35"/>
  <cols>
    <col min="1" max="1" width="23" customWidth="1"/>
  </cols>
  <sheetData>
    <row r="1" spans="1:9" ht="21" x14ac:dyDescent="0.5">
      <c r="A1" s="91" t="s">
        <v>0</v>
      </c>
      <c r="B1" s="91"/>
      <c r="C1" s="91"/>
      <c r="D1" s="91"/>
      <c r="E1" s="91"/>
      <c r="F1" s="91"/>
      <c r="G1" s="91"/>
      <c r="H1" s="91"/>
      <c r="I1" s="91"/>
    </row>
    <row r="2" spans="1:9" x14ac:dyDescent="0.35">
      <c r="A2" s="16"/>
      <c r="B2" s="16">
        <v>43525</v>
      </c>
      <c r="C2" s="16">
        <v>43891</v>
      </c>
      <c r="D2" s="16">
        <v>44256</v>
      </c>
      <c r="E2" s="16">
        <v>44621</v>
      </c>
      <c r="F2" s="16">
        <v>44986</v>
      </c>
      <c r="G2" s="16">
        <v>45352</v>
      </c>
      <c r="H2" s="17">
        <v>45741</v>
      </c>
      <c r="I2" s="18" t="s">
        <v>16</v>
      </c>
    </row>
    <row r="3" spans="1:9" x14ac:dyDescent="0.35">
      <c r="A3" s="19" t="s">
        <v>17</v>
      </c>
      <c r="B3" s="20">
        <v>7152</v>
      </c>
      <c r="C3" s="20">
        <v>7723</v>
      </c>
      <c r="D3" s="20">
        <v>8500</v>
      </c>
      <c r="E3" s="20">
        <v>13063</v>
      </c>
      <c r="F3" s="20">
        <v>16166</v>
      </c>
      <c r="G3" s="20">
        <v>18119</v>
      </c>
      <c r="H3" s="20">
        <v>20690</v>
      </c>
      <c r="I3" s="20">
        <v>20885</v>
      </c>
    </row>
    <row r="4" spans="1:9" x14ac:dyDescent="0.35">
      <c r="A4" s="19" t="s">
        <v>18</v>
      </c>
      <c r="B4" s="21">
        <v>0.3407</v>
      </c>
      <c r="C4" s="21">
        <v>7.9799999999999996E-2</v>
      </c>
      <c r="D4" s="21">
        <v>0.10050000000000001</v>
      </c>
      <c r="E4" s="21">
        <v>0.53690000000000004</v>
      </c>
      <c r="F4" s="21">
        <v>0.23749999999999999</v>
      </c>
      <c r="G4" s="21">
        <v>0.1208</v>
      </c>
      <c r="H4" s="21">
        <v>0.1419</v>
      </c>
      <c r="I4" s="22"/>
    </row>
    <row r="5" spans="1:9" x14ac:dyDescent="0.35">
      <c r="A5" s="23" t="s">
        <v>19</v>
      </c>
      <c r="B5" s="24">
        <v>6759</v>
      </c>
      <c r="C5" s="24">
        <v>7246</v>
      </c>
      <c r="D5" s="24">
        <v>7821</v>
      </c>
      <c r="E5" s="24">
        <v>12118</v>
      </c>
      <c r="F5" s="24">
        <v>15143</v>
      </c>
      <c r="G5" s="24">
        <v>16926</v>
      </c>
      <c r="H5" s="24">
        <v>19490</v>
      </c>
      <c r="I5" s="24">
        <v>19616</v>
      </c>
    </row>
    <row r="6" spans="1:9" x14ac:dyDescent="0.35">
      <c r="A6" s="23" t="s">
        <v>20</v>
      </c>
      <c r="B6" s="25">
        <v>0.88</v>
      </c>
      <c r="C6" s="25">
        <v>0.85</v>
      </c>
      <c r="D6" s="25">
        <v>0.84</v>
      </c>
      <c r="E6" s="25">
        <v>0.86</v>
      </c>
      <c r="F6" s="25">
        <v>0.87</v>
      </c>
      <c r="G6" s="25">
        <v>0.86</v>
      </c>
      <c r="H6" s="25">
        <v>0.86</v>
      </c>
      <c r="I6" s="26"/>
    </row>
    <row r="7" spans="1:9" x14ac:dyDescent="0.35">
      <c r="A7" s="23" t="s">
        <v>21</v>
      </c>
      <c r="B7" s="24">
        <v>6396</v>
      </c>
      <c r="C7" s="24">
        <v>6712</v>
      </c>
      <c r="D7" s="24">
        <v>7227</v>
      </c>
      <c r="E7" s="24">
        <v>11160</v>
      </c>
      <c r="F7" s="24">
        <v>14609</v>
      </c>
      <c r="G7" s="24">
        <v>15626</v>
      </c>
      <c r="H7" s="24">
        <v>17793</v>
      </c>
      <c r="I7" s="26"/>
    </row>
    <row r="8" spans="1:9" x14ac:dyDescent="0.35">
      <c r="A8" s="23" t="s">
        <v>22</v>
      </c>
      <c r="B8" s="26">
        <v>-88</v>
      </c>
      <c r="C8" s="26">
        <v>-136</v>
      </c>
      <c r="D8" s="26">
        <v>-62</v>
      </c>
      <c r="E8" s="26">
        <v>63</v>
      </c>
      <c r="F8" s="26">
        <v>-582</v>
      </c>
      <c r="G8" s="26">
        <v>-9</v>
      </c>
      <c r="H8" s="26">
        <v>78</v>
      </c>
      <c r="I8" s="26"/>
    </row>
    <row r="9" spans="1:9" x14ac:dyDescent="0.35">
      <c r="A9" s="23" t="s">
        <v>23</v>
      </c>
      <c r="B9" s="25">
        <v>0.02</v>
      </c>
      <c r="C9" s="25">
        <v>0.02</v>
      </c>
      <c r="D9" s="25">
        <v>0.02</v>
      </c>
      <c r="E9" s="25">
        <v>0.02</v>
      </c>
      <c r="F9" s="25">
        <v>0.02</v>
      </c>
      <c r="G9" s="25">
        <v>0.02</v>
      </c>
      <c r="H9" s="25">
        <v>0.02</v>
      </c>
      <c r="I9" s="26"/>
    </row>
    <row r="10" spans="1:9" x14ac:dyDescent="0.35">
      <c r="A10" s="23" t="s">
        <v>24</v>
      </c>
      <c r="B10" s="25">
        <v>0.02</v>
      </c>
      <c r="C10" s="25">
        <v>0.02</v>
      </c>
      <c r="D10" s="25">
        <v>0.02</v>
      </c>
      <c r="E10" s="25">
        <v>0.01</v>
      </c>
      <c r="F10" s="25">
        <v>0.01</v>
      </c>
      <c r="G10" s="25">
        <v>0.01</v>
      </c>
      <c r="H10" s="25">
        <v>0.02</v>
      </c>
      <c r="I10" s="26"/>
    </row>
    <row r="11" spans="1:9" x14ac:dyDescent="0.35">
      <c r="A11" s="23" t="s">
        <v>25</v>
      </c>
      <c r="B11" s="25">
        <v>0.03</v>
      </c>
      <c r="C11" s="25">
        <v>0.04</v>
      </c>
      <c r="D11" s="25">
        <v>0.04</v>
      </c>
      <c r="E11" s="25">
        <v>0.04</v>
      </c>
      <c r="F11" s="25">
        <v>0.04</v>
      </c>
      <c r="G11" s="25">
        <v>0.04</v>
      </c>
      <c r="H11" s="25">
        <v>0.04</v>
      </c>
      <c r="I11" s="26"/>
    </row>
    <row r="12" spans="1:9" x14ac:dyDescent="0.35">
      <c r="A12" s="19" t="s">
        <v>26</v>
      </c>
      <c r="B12" s="22">
        <v>393</v>
      </c>
      <c r="C12" s="22">
        <v>478</v>
      </c>
      <c r="D12" s="22">
        <v>679</v>
      </c>
      <c r="E12" s="22">
        <v>946</v>
      </c>
      <c r="F12" s="20">
        <v>1022</v>
      </c>
      <c r="G12" s="20">
        <v>1193</v>
      </c>
      <c r="H12" s="20">
        <v>1199</v>
      </c>
      <c r="I12" s="20">
        <v>1269</v>
      </c>
    </row>
    <row r="13" spans="1:9" x14ac:dyDescent="0.35">
      <c r="A13" s="23" t="s">
        <v>27</v>
      </c>
      <c r="B13" s="25">
        <v>0.05</v>
      </c>
      <c r="C13" s="25">
        <v>0.06</v>
      </c>
      <c r="D13" s="25">
        <v>0.08</v>
      </c>
      <c r="E13" s="25">
        <v>7.0000000000000007E-2</v>
      </c>
      <c r="F13" s="25">
        <v>0.06</v>
      </c>
      <c r="G13" s="25">
        <v>7.0000000000000007E-2</v>
      </c>
      <c r="H13" s="25">
        <v>0.06</v>
      </c>
      <c r="I13" s="25">
        <v>0.06</v>
      </c>
    </row>
    <row r="14" spans="1:9" x14ac:dyDescent="0.35">
      <c r="A14" s="19" t="s">
        <v>28</v>
      </c>
      <c r="B14" s="22">
        <v>12</v>
      </c>
      <c r="C14" s="22">
        <v>22</v>
      </c>
      <c r="D14" s="22">
        <v>36</v>
      </c>
      <c r="E14" s="22">
        <v>40</v>
      </c>
      <c r="F14" s="22">
        <v>46</v>
      </c>
      <c r="G14" s="22">
        <v>74</v>
      </c>
      <c r="H14" s="22">
        <v>96</v>
      </c>
      <c r="I14" s="22">
        <v>97</v>
      </c>
    </row>
    <row r="15" spans="1:9" x14ac:dyDescent="0.35">
      <c r="A15" s="19" t="s">
        <v>29</v>
      </c>
      <c r="B15" s="22">
        <v>0</v>
      </c>
      <c r="C15" s="22">
        <v>1</v>
      </c>
      <c r="D15" s="22">
        <v>0</v>
      </c>
      <c r="E15" s="22">
        <v>0</v>
      </c>
      <c r="F15" s="22">
        <v>-1</v>
      </c>
      <c r="G15" s="22">
        <v>5</v>
      </c>
      <c r="H15" s="22">
        <v>21</v>
      </c>
      <c r="I15" s="22"/>
    </row>
    <row r="16" spans="1:9" x14ac:dyDescent="0.35">
      <c r="A16" s="19" t="s">
        <v>30</v>
      </c>
      <c r="B16" s="22">
        <v>12</v>
      </c>
      <c r="C16" s="22">
        <v>20</v>
      </c>
      <c r="D16" s="22">
        <v>36</v>
      </c>
      <c r="E16" s="22">
        <v>40</v>
      </c>
      <c r="F16" s="22">
        <v>47</v>
      </c>
      <c r="G16" s="22">
        <v>69</v>
      </c>
      <c r="H16" s="22">
        <v>74</v>
      </c>
      <c r="I16" s="22"/>
    </row>
    <row r="17" spans="1:9" x14ac:dyDescent="0.35">
      <c r="A17" s="23" t="s">
        <v>7</v>
      </c>
      <c r="B17" s="26">
        <v>113</v>
      </c>
      <c r="C17" s="26">
        <v>107</v>
      </c>
      <c r="D17" s="26">
        <v>66</v>
      </c>
      <c r="E17" s="26">
        <v>44</v>
      </c>
      <c r="F17" s="26">
        <v>67</v>
      </c>
      <c r="G17" s="26">
        <v>113</v>
      </c>
      <c r="H17" s="26">
        <v>133</v>
      </c>
      <c r="I17" s="26">
        <v>139</v>
      </c>
    </row>
    <row r="18" spans="1:9" x14ac:dyDescent="0.35">
      <c r="A18" s="19" t="s">
        <v>31</v>
      </c>
      <c r="B18" s="22">
        <v>64</v>
      </c>
      <c r="C18" s="22">
        <v>96</v>
      </c>
      <c r="D18" s="22">
        <v>103</v>
      </c>
      <c r="E18" s="22">
        <v>109</v>
      </c>
      <c r="F18" s="22">
        <v>138</v>
      </c>
      <c r="G18" s="22">
        <v>176</v>
      </c>
      <c r="H18" s="22">
        <v>201</v>
      </c>
      <c r="I18" s="22">
        <v>209</v>
      </c>
    </row>
    <row r="19" spans="1:9" x14ac:dyDescent="0.35">
      <c r="A19" s="23" t="s">
        <v>32</v>
      </c>
      <c r="B19" s="26">
        <v>227</v>
      </c>
      <c r="C19" s="26">
        <v>296</v>
      </c>
      <c r="D19" s="26">
        <v>546</v>
      </c>
      <c r="E19" s="26">
        <v>832</v>
      </c>
      <c r="F19" s="26">
        <v>863</v>
      </c>
      <c r="G19" s="26">
        <v>978</v>
      </c>
      <c r="H19" s="26">
        <v>960</v>
      </c>
      <c r="I19" s="24">
        <v>1018</v>
      </c>
    </row>
    <row r="20" spans="1:9" x14ac:dyDescent="0.35">
      <c r="A20" s="19" t="s">
        <v>33</v>
      </c>
      <c r="B20" s="27">
        <v>0.35</v>
      </c>
      <c r="C20" s="27">
        <v>0.14000000000000001</v>
      </c>
      <c r="D20" s="27">
        <v>0.25</v>
      </c>
      <c r="E20" s="27">
        <v>0.26</v>
      </c>
      <c r="F20" s="27">
        <v>0.26</v>
      </c>
      <c r="G20" s="27">
        <v>0.25</v>
      </c>
      <c r="H20" s="27">
        <v>0.21</v>
      </c>
      <c r="I20" s="22"/>
    </row>
    <row r="21" spans="1:9" x14ac:dyDescent="0.35">
      <c r="A21" s="23" t="s">
        <v>34</v>
      </c>
      <c r="B21" s="26">
        <v>148</v>
      </c>
      <c r="C21" s="26">
        <v>256</v>
      </c>
      <c r="D21" s="26">
        <v>408</v>
      </c>
      <c r="E21" s="26">
        <v>619</v>
      </c>
      <c r="F21" s="26">
        <v>642</v>
      </c>
      <c r="G21" s="26">
        <v>732</v>
      </c>
      <c r="H21" s="26">
        <v>757</v>
      </c>
      <c r="I21" s="26">
        <v>801</v>
      </c>
    </row>
    <row r="22" spans="1:9" x14ac:dyDescent="0.35">
      <c r="A22" s="23" t="s">
        <v>35</v>
      </c>
      <c r="B22" s="26">
        <v>0</v>
      </c>
      <c r="C22" s="26">
        <v>-18</v>
      </c>
      <c r="D22" s="26">
        <v>-48</v>
      </c>
      <c r="E22" s="26">
        <v>0</v>
      </c>
      <c r="F22" s="26">
        <v>0</v>
      </c>
      <c r="G22" s="26">
        <v>0</v>
      </c>
      <c r="H22" s="26">
        <v>0</v>
      </c>
      <c r="I22" s="26"/>
    </row>
    <row r="23" spans="1:9" x14ac:dyDescent="0.35">
      <c r="A23" s="23" t="s">
        <v>36</v>
      </c>
      <c r="B23" s="26">
        <v>0</v>
      </c>
      <c r="C23" s="26">
        <v>1</v>
      </c>
      <c r="D23" s="26">
        <v>0</v>
      </c>
      <c r="E23" s="26">
        <v>0</v>
      </c>
      <c r="F23" s="26">
        <v>-1</v>
      </c>
      <c r="G23" s="26">
        <v>4</v>
      </c>
      <c r="H23" s="26">
        <v>17</v>
      </c>
      <c r="I23" s="26"/>
    </row>
    <row r="24" spans="1:9" x14ac:dyDescent="0.35">
      <c r="A24" s="23" t="s">
        <v>37</v>
      </c>
      <c r="B24" s="26">
        <v>148</v>
      </c>
      <c r="C24" s="26">
        <v>255</v>
      </c>
      <c r="D24" s="26">
        <v>408</v>
      </c>
      <c r="E24" s="26">
        <v>619</v>
      </c>
      <c r="F24" s="26">
        <v>643</v>
      </c>
      <c r="G24" s="26">
        <v>729</v>
      </c>
      <c r="H24" s="26">
        <v>740</v>
      </c>
      <c r="I24" s="26"/>
    </row>
    <row r="25" spans="1:9" x14ac:dyDescent="0.35">
      <c r="A25" s="23" t="s">
        <v>38</v>
      </c>
      <c r="B25" s="26">
        <v>148</v>
      </c>
      <c r="C25" s="26">
        <v>237</v>
      </c>
      <c r="D25" s="26">
        <v>360</v>
      </c>
      <c r="E25" s="26">
        <v>619</v>
      </c>
      <c r="F25" s="26">
        <v>643</v>
      </c>
      <c r="G25" s="26">
        <v>729</v>
      </c>
      <c r="H25" s="26">
        <v>740</v>
      </c>
      <c r="I25" s="26"/>
    </row>
    <row r="26" spans="1:9" x14ac:dyDescent="0.35">
      <c r="A26" s="23" t="s">
        <v>39</v>
      </c>
      <c r="B26" s="26">
        <v>148</v>
      </c>
      <c r="C26" s="26">
        <v>238</v>
      </c>
      <c r="D26" s="26">
        <v>360</v>
      </c>
      <c r="E26" s="26">
        <v>619</v>
      </c>
      <c r="F26" s="26">
        <v>642</v>
      </c>
      <c r="G26" s="26">
        <v>732</v>
      </c>
      <c r="H26" s="26">
        <v>757</v>
      </c>
      <c r="I26" s="26"/>
    </row>
    <row r="27" spans="1:9" x14ac:dyDescent="0.35">
      <c r="A27" s="19" t="s">
        <v>40</v>
      </c>
      <c r="B27" s="22">
        <v>6.22</v>
      </c>
      <c r="C27" s="22">
        <v>9.58</v>
      </c>
      <c r="D27" s="22">
        <v>14.42</v>
      </c>
      <c r="E27" s="22">
        <v>24.73</v>
      </c>
      <c r="F27" s="22">
        <v>23.14</v>
      </c>
      <c r="G27" s="22">
        <v>26.39</v>
      </c>
      <c r="H27" s="22">
        <v>27.28</v>
      </c>
      <c r="I27" s="22">
        <v>28.87</v>
      </c>
    </row>
    <row r="28" spans="1:9" x14ac:dyDescent="0.35">
      <c r="A28" s="23" t="s">
        <v>41</v>
      </c>
      <c r="B28" s="25">
        <v>0.23</v>
      </c>
      <c r="C28" s="25">
        <v>0</v>
      </c>
      <c r="D28" s="25">
        <v>0</v>
      </c>
      <c r="E28" s="25">
        <v>0.14000000000000001</v>
      </c>
      <c r="F28" s="25">
        <v>0.22</v>
      </c>
      <c r="G28" s="25">
        <v>0.21</v>
      </c>
      <c r="H28" s="25">
        <v>0.21</v>
      </c>
      <c r="I28" s="26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1D97-95F1-4CE4-B2FE-F0787D36C9E9}">
  <dimension ref="A1:H38"/>
  <sheetViews>
    <sheetView workbookViewId="0">
      <selection activeCell="M33" sqref="M33"/>
    </sheetView>
  </sheetViews>
  <sheetFormatPr defaultRowHeight="14.5" x14ac:dyDescent="0.35"/>
  <cols>
    <col min="1" max="1" width="25.36328125" customWidth="1"/>
  </cols>
  <sheetData>
    <row r="1" spans="1:8" x14ac:dyDescent="0.35">
      <c r="A1" s="28"/>
      <c r="B1" s="28">
        <v>43525</v>
      </c>
      <c r="C1" s="28">
        <v>43891</v>
      </c>
      <c r="D1" s="28">
        <v>44256</v>
      </c>
      <c r="E1" s="28">
        <v>44621</v>
      </c>
      <c r="F1" s="28">
        <v>44986</v>
      </c>
      <c r="G1" s="28">
        <v>45352</v>
      </c>
      <c r="H1" s="29">
        <v>45741</v>
      </c>
    </row>
    <row r="2" spans="1:8" x14ac:dyDescent="0.35">
      <c r="A2" s="19" t="s">
        <v>42</v>
      </c>
      <c r="B2" s="30">
        <v>24</v>
      </c>
      <c r="C2" s="30">
        <v>25</v>
      </c>
      <c r="D2" s="30">
        <v>25</v>
      </c>
      <c r="E2" s="30">
        <v>50</v>
      </c>
      <c r="F2" s="30">
        <v>55</v>
      </c>
      <c r="G2" s="30">
        <v>56</v>
      </c>
      <c r="H2" s="30">
        <v>56</v>
      </c>
    </row>
    <row r="3" spans="1:8" x14ac:dyDescent="0.35">
      <c r="A3" s="23" t="s">
        <v>43</v>
      </c>
      <c r="B3" s="31">
        <v>940</v>
      </c>
      <c r="C3" s="7">
        <v>1331</v>
      </c>
      <c r="D3" s="7">
        <v>1670</v>
      </c>
      <c r="E3" s="7">
        <v>2414</v>
      </c>
      <c r="F3" s="7">
        <v>2950</v>
      </c>
      <c r="G3" s="7">
        <v>3549</v>
      </c>
      <c r="H3" s="7">
        <v>4153</v>
      </c>
    </row>
    <row r="4" spans="1:8" x14ac:dyDescent="0.35">
      <c r="A4" s="19" t="s">
        <v>44</v>
      </c>
      <c r="B4" s="30">
        <v>858</v>
      </c>
      <c r="C4" s="30">
        <v>834</v>
      </c>
      <c r="D4" s="30">
        <v>520</v>
      </c>
      <c r="E4" s="30">
        <v>581</v>
      </c>
      <c r="F4" s="30">
        <v>873</v>
      </c>
      <c r="G4" s="32">
        <v>1144</v>
      </c>
      <c r="H4" s="30">
        <v>634</v>
      </c>
    </row>
    <row r="5" spans="1:8" x14ac:dyDescent="0.35">
      <c r="A5" s="33" t="s">
        <v>45</v>
      </c>
      <c r="B5" s="30">
        <v>175</v>
      </c>
      <c r="C5" s="30">
        <v>404</v>
      </c>
      <c r="D5" s="30">
        <v>183</v>
      </c>
      <c r="E5" s="30">
        <v>347</v>
      </c>
      <c r="F5" s="30">
        <v>408</v>
      </c>
      <c r="G5" s="30">
        <v>787</v>
      </c>
      <c r="H5" s="30">
        <v>409</v>
      </c>
    </row>
    <row r="6" spans="1:8" x14ac:dyDescent="0.35">
      <c r="A6" s="33" t="s">
        <v>46</v>
      </c>
      <c r="B6" s="30">
        <v>536</v>
      </c>
      <c r="C6" s="30">
        <v>323</v>
      </c>
      <c r="D6" s="30">
        <v>337</v>
      </c>
      <c r="E6" s="30">
        <v>233</v>
      </c>
      <c r="F6" s="30">
        <v>465</v>
      </c>
      <c r="G6" s="30">
        <v>338</v>
      </c>
      <c r="H6" s="30">
        <v>206</v>
      </c>
    </row>
    <row r="7" spans="1:8" x14ac:dyDescent="0.35">
      <c r="A7" s="33" t="s">
        <v>47</v>
      </c>
      <c r="B7" s="30">
        <v>0</v>
      </c>
      <c r="C7" s="30">
        <v>1</v>
      </c>
      <c r="D7" s="30">
        <v>0</v>
      </c>
      <c r="E7" s="30">
        <v>1</v>
      </c>
      <c r="F7" s="30">
        <v>0</v>
      </c>
      <c r="G7" s="30">
        <v>20</v>
      </c>
      <c r="H7" s="30">
        <v>20</v>
      </c>
    </row>
    <row r="8" spans="1:8" x14ac:dyDescent="0.35">
      <c r="A8" s="33" t="s">
        <v>48</v>
      </c>
      <c r="B8" s="30">
        <v>148</v>
      </c>
      <c r="C8" s="30">
        <v>107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</row>
    <row r="9" spans="1:8" x14ac:dyDescent="0.35">
      <c r="A9" s="23" t="s">
        <v>49</v>
      </c>
      <c r="B9" s="31">
        <v>952</v>
      </c>
      <c r="C9" s="7">
        <v>1075</v>
      </c>
      <c r="D9" s="7">
        <v>1184</v>
      </c>
      <c r="E9" s="7">
        <v>1407</v>
      </c>
      <c r="F9" s="7">
        <v>1973</v>
      </c>
      <c r="G9" s="7">
        <v>2438</v>
      </c>
      <c r="H9" s="7">
        <v>2753</v>
      </c>
    </row>
    <row r="10" spans="1:8" x14ac:dyDescent="0.35">
      <c r="A10" s="34" t="s">
        <v>50</v>
      </c>
      <c r="B10" s="31">
        <v>0</v>
      </c>
      <c r="C10" s="31">
        <v>95</v>
      </c>
      <c r="D10" s="31">
        <v>138</v>
      </c>
      <c r="E10" s="31">
        <v>0</v>
      </c>
      <c r="F10" s="31">
        <v>0</v>
      </c>
      <c r="G10" s="31">
        <v>0</v>
      </c>
      <c r="H10" s="31">
        <v>0</v>
      </c>
    </row>
    <row r="11" spans="1:8" x14ac:dyDescent="0.35">
      <c r="A11" s="34" t="s">
        <v>51</v>
      </c>
      <c r="B11" s="31">
        <v>699</v>
      </c>
      <c r="C11" s="31">
        <v>764</v>
      </c>
      <c r="D11" s="31">
        <v>786</v>
      </c>
      <c r="E11" s="7">
        <v>1059</v>
      </c>
      <c r="F11" s="7">
        <v>1597</v>
      </c>
      <c r="G11" s="7">
        <v>1982</v>
      </c>
      <c r="H11" s="7">
        <v>2231</v>
      </c>
    </row>
    <row r="12" spans="1:8" x14ac:dyDescent="0.35">
      <c r="A12" s="34" t="s">
        <v>52</v>
      </c>
      <c r="B12" s="31">
        <v>14</v>
      </c>
      <c r="C12" s="31">
        <v>7</v>
      </c>
      <c r="D12" s="31">
        <v>12</v>
      </c>
      <c r="E12" s="31">
        <v>28</v>
      </c>
      <c r="F12" s="31">
        <v>25</v>
      </c>
      <c r="G12" s="31">
        <v>32</v>
      </c>
      <c r="H12" s="31">
        <v>79</v>
      </c>
    </row>
    <row r="13" spans="1:8" x14ac:dyDescent="0.35">
      <c r="A13" s="34" t="s">
        <v>53</v>
      </c>
      <c r="B13" s="31">
        <v>239</v>
      </c>
      <c r="C13" s="31">
        <v>209</v>
      </c>
      <c r="D13" s="31">
        <v>248</v>
      </c>
      <c r="E13" s="31">
        <v>320</v>
      </c>
      <c r="F13" s="31">
        <v>351</v>
      </c>
      <c r="G13" s="31">
        <v>424</v>
      </c>
      <c r="H13" s="31">
        <v>443</v>
      </c>
    </row>
    <row r="14" spans="1:8" x14ac:dyDescent="0.35">
      <c r="A14" s="19" t="s">
        <v>54</v>
      </c>
      <c r="B14" s="32">
        <v>2774</v>
      </c>
      <c r="C14" s="32">
        <v>3266</v>
      </c>
      <c r="D14" s="32">
        <v>3399</v>
      </c>
      <c r="E14" s="32">
        <v>4452</v>
      </c>
      <c r="F14" s="32">
        <v>5852</v>
      </c>
      <c r="G14" s="32">
        <v>7187</v>
      </c>
      <c r="H14" s="32">
        <v>7596</v>
      </c>
    </row>
    <row r="15" spans="1:8" x14ac:dyDescent="0.35">
      <c r="A15" s="23" t="s">
        <v>55</v>
      </c>
      <c r="B15" s="7">
        <v>1034</v>
      </c>
      <c r="C15" s="7">
        <v>1708</v>
      </c>
      <c r="D15" s="7">
        <v>1736</v>
      </c>
      <c r="E15" s="7">
        <v>1837</v>
      </c>
      <c r="F15" s="7">
        <v>2580</v>
      </c>
      <c r="G15" s="7">
        <v>3281</v>
      </c>
      <c r="H15" s="7">
        <v>3668</v>
      </c>
    </row>
    <row r="16" spans="1:8" x14ac:dyDescent="0.35">
      <c r="A16" s="34" t="s">
        <v>56</v>
      </c>
      <c r="B16" s="31">
        <v>23</v>
      </c>
      <c r="C16" s="31">
        <v>222</v>
      </c>
      <c r="D16" s="31">
        <v>224</v>
      </c>
      <c r="E16" s="31">
        <v>253</v>
      </c>
      <c r="F16" s="31">
        <v>269</v>
      </c>
      <c r="G16" s="31">
        <v>288</v>
      </c>
      <c r="H16" s="31">
        <v>328</v>
      </c>
    </row>
    <row r="17" spans="1:8" x14ac:dyDescent="0.35">
      <c r="A17" s="34" t="s">
        <v>57</v>
      </c>
      <c r="B17" s="31">
        <v>248</v>
      </c>
      <c r="C17" s="31">
        <v>354</v>
      </c>
      <c r="D17" s="31">
        <v>362</v>
      </c>
      <c r="E17" s="31">
        <v>386</v>
      </c>
      <c r="F17" s="31">
        <v>580</v>
      </c>
      <c r="G17" s="31">
        <v>831</v>
      </c>
      <c r="H17" s="31">
        <v>932</v>
      </c>
    </row>
    <row r="18" spans="1:8" x14ac:dyDescent="0.35">
      <c r="A18" s="34" t="s">
        <v>58</v>
      </c>
      <c r="B18" s="31">
        <v>868</v>
      </c>
      <c r="C18" s="7">
        <v>1208</v>
      </c>
      <c r="D18" s="7">
        <v>1302</v>
      </c>
      <c r="E18" s="7">
        <v>1440</v>
      </c>
      <c r="F18" s="7">
        <v>2091</v>
      </c>
      <c r="G18" s="7">
        <v>2610</v>
      </c>
      <c r="H18" s="7">
        <v>3011</v>
      </c>
    </row>
    <row r="19" spans="1:8" x14ac:dyDescent="0.35">
      <c r="A19" s="34" t="s">
        <v>59</v>
      </c>
      <c r="B19" s="31">
        <v>4</v>
      </c>
      <c r="C19" s="31">
        <v>6</v>
      </c>
      <c r="D19" s="31">
        <v>7</v>
      </c>
      <c r="E19" s="31">
        <v>9</v>
      </c>
      <c r="F19" s="31">
        <v>10</v>
      </c>
      <c r="G19" s="31">
        <v>15</v>
      </c>
      <c r="H19" s="31">
        <v>21</v>
      </c>
    </row>
    <row r="20" spans="1:8" x14ac:dyDescent="0.35">
      <c r="A20" s="34" t="s">
        <v>60</v>
      </c>
      <c r="B20" s="31">
        <v>2</v>
      </c>
      <c r="C20" s="31">
        <v>3</v>
      </c>
      <c r="D20" s="31">
        <v>4</v>
      </c>
      <c r="E20" s="31">
        <v>5</v>
      </c>
      <c r="F20" s="31">
        <v>7</v>
      </c>
      <c r="G20" s="31">
        <v>11</v>
      </c>
      <c r="H20" s="31">
        <v>13</v>
      </c>
    </row>
    <row r="21" spans="1:8" x14ac:dyDescent="0.35">
      <c r="A21" s="34" t="s">
        <v>61</v>
      </c>
      <c r="B21" s="31">
        <v>8</v>
      </c>
      <c r="C21" s="31">
        <v>10</v>
      </c>
      <c r="D21" s="31">
        <v>11</v>
      </c>
      <c r="E21" s="31">
        <v>13</v>
      </c>
      <c r="F21" s="31">
        <v>14</v>
      </c>
      <c r="G21" s="31">
        <v>53</v>
      </c>
      <c r="H21" s="31">
        <v>57</v>
      </c>
    </row>
    <row r="22" spans="1:8" x14ac:dyDescent="0.35">
      <c r="A22" s="34" t="s">
        <v>62</v>
      </c>
      <c r="B22" s="31">
        <v>9</v>
      </c>
      <c r="C22" s="31">
        <v>12</v>
      </c>
      <c r="D22" s="31">
        <v>23</v>
      </c>
      <c r="E22" s="31">
        <v>27</v>
      </c>
      <c r="F22" s="31">
        <v>28</v>
      </c>
      <c r="G22" s="31">
        <v>28</v>
      </c>
      <c r="H22" s="31">
        <v>39</v>
      </c>
    </row>
    <row r="23" spans="1:8" x14ac:dyDescent="0.35">
      <c r="A23" s="34" t="s">
        <v>63</v>
      </c>
      <c r="B23" s="31">
        <v>23</v>
      </c>
      <c r="C23" s="31">
        <v>138</v>
      </c>
      <c r="D23" s="31">
        <v>138</v>
      </c>
      <c r="E23" s="31">
        <v>138</v>
      </c>
      <c r="F23" s="31">
        <v>138</v>
      </c>
      <c r="G23" s="31">
        <v>138</v>
      </c>
      <c r="H23" s="31">
        <v>138</v>
      </c>
    </row>
    <row r="24" spans="1:8" x14ac:dyDescent="0.35">
      <c r="A24" s="34" t="s">
        <v>64</v>
      </c>
      <c r="B24" s="31">
        <v>5</v>
      </c>
      <c r="C24" s="31">
        <v>6</v>
      </c>
      <c r="D24" s="31">
        <v>6</v>
      </c>
      <c r="E24" s="31">
        <v>7</v>
      </c>
      <c r="F24" s="31">
        <v>7</v>
      </c>
      <c r="G24" s="31">
        <v>9</v>
      </c>
      <c r="H24" s="31">
        <v>10</v>
      </c>
    </row>
    <row r="25" spans="1:8" x14ac:dyDescent="0.35">
      <c r="A25" s="34" t="s">
        <v>65</v>
      </c>
      <c r="B25" s="7">
        <v>1191</v>
      </c>
      <c r="C25" s="7">
        <v>1958</v>
      </c>
      <c r="D25" s="7">
        <v>2076</v>
      </c>
      <c r="E25" s="7">
        <v>2277</v>
      </c>
      <c r="F25" s="7">
        <v>3144</v>
      </c>
      <c r="G25" s="7">
        <v>3983</v>
      </c>
      <c r="H25" s="7">
        <v>4548</v>
      </c>
    </row>
    <row r="26" spans="1:8" x14ac:dyDescent="0.35">
      <c r="A26" s="34" t="s">
        <v>66</v>
      </c>
      <c r="B26" s="31">
        <v>157</v>
      </c>
      <c r="C26" s="31">
        <v>250</v>
      </c>
      <c r="D26" s="31">
        <v>341</v>
      </c>
      <c r="E26" s="31">
        <v>440</v>
      </c>
      <c r="F26" s="31">
        <v>564</v>
      </c>
      <c r="G26" s="31">
        <v>702</v>
      </c>
      <c r="H26" s="31">
        <v>880</v>
      </c>
    </row>
    <row r="27" spans="1:8" x14ac:dyDescent="0.35">
      <c r="A27" s="19" t="s">
        <v>67</v>
      </c>
      <c r="B27" s="30">
        <v>27</v>
      </c>
      <c r="C27" s="30">
        <v>10</v>
      </c>
      <c r="D27" s="30">
        <v>108</v>
      </c>
      <c r="E27" s="30">
        <v>504</v>
      </c>
      <c r="F27" s="30">
        <v>374</v>
      </c>
      <c r="G27" s="30">
        <v>203</v>
      </c>
      <c r="H27" s="30">
        <v>336</v>
      </c>
    </row>
    <row r="28" spans="1:8" x14ac:dyDescent="0.35">
      <c r="A28" s="23" t="s">
        <v>68</v>
      </c>
      <c r="B28" s="31">
        <v>49</v>
      </c>
      <c r="C28" s="31">
        <v>2</v>
      </c>
      <c r="D28" s="31">
        <v>1</v>
      </c>
      <c r="E28" s="31">
        <v>91</v>
      </c>
      <c r="F28" s="31">
        <v>96</v>
      </c>
      <c r="G28" s="31">
        <v>103</v>
      </c>
      <c r="H28" s="31">
        <v>126</v>
      </c>
    </row>
    <row r="29" spans="1:8" x14ac:dyDescent="0.35">
      <c r="A29" s="19" t="s">
        <v>69</v>
      </c>
      <c r="B29" s="32">
        <v>1663</v>
      </c>
      <c r="C29" s="32">
        <v>1546</v>
      </c>
      <c r="D29" s="32">
        <v>1554</v>
      </c>
      <c r="E29" s="32">
        <v>2020</v>
      </c>
      <c r="F29" s="32">
        <v>2801</v>
      </c>
      <c r="G29" s="32">
        <v>3600</v>
      </c>
      <c r="H29" s="32">
        <v>3467</v>
      </c>
    </row>
    <row r="30" spans="1:8" x14ac:dyDescent="0.35">
      <c r="A30" s="33" t="s">
        <v>70</v>
      </c>
      <c r="B30" s="30">
        <v>784</v>
      </c>
      <c r="C30" s="30">
        <v>784</v>
      </c>
      <c r="D30" s="30">
        <v>760</v>
      </c>
      <c r="E30" s="30">
        <v>847</v>
      </c>
      <c r="F30" s="32">
        <v>1480</v>
      </c>
      <c r="G30" s="32">
        <v>1638</v>
      </c>
      <c r="H30" s="32">
        <v>1623</v>
      </c>
    </row>
    <row r="31" spans="1:8" x14ac:dyDescent="0.35">
      <c r="A31" s="33" t="s">
        <v>71</v>
      </c>
      <c r="B31" s="30">
        <v>543</v>
      </c>
      <c r="C31" s="30">
        <v>476</v>
      </c>
      <c r="D31" s="30">
        <v>131</v>
      </c>
      <c r="E31" s="30">
        <v>342</v>
      </c>
      <c r="F31" s="30">
        <v>137</v>
      </c>
      <c r="G31" s="30">
        <v>139</v>
      </c>
      <c r="H31" s="30">
        <v>267</v>
      </c>
    </row>
    <row r="32" spans="1:8" x14ac:dyDescent="0.35">
      <c r="A32" s="33" t="s">
        <v>72</v>
      </c>
      <c r="B32" s="30">
        <v>0</v>
      </c>
      <c r="C32" s="30">
        <v>0</v>
      </c>
      <c r="D32" s="30">
        <v>0</v>
      </c>
      <c r="E32" s="30">
        <v>0</v>
      </c>
      <c r="F32" s="30">
        <v>3</v>
      </c>
      <c r="G32" s="30">
        <v>5</v>
      </c>
      <c r="H32" s="30">
        <v>14</v>
      </c>
    </row>
    <row r="33" spans="1:8" x14ac:dyDescent="0.35">
      <c r="A33" s="33" t="s">
        <v>73</v>
      </c>
      <c r="B33" s="30">
        <v>549</v>
      </c>
      <c r="C33" s="30">
        <v>484</v>
      </c>
      <c r="D33" s="30">
        <v>137</v>
      </c>
      <c r="E33" s="30">
        <v>348</v>
      </c>
      <c r="F33" s="30">
        <v>137</v>
      </c>
      <c r="G33" s="30">
        <v>137</v>
      </c>
      <c r="H33" s="30">
        <v>260</v>
      </c>
    </row>
    <row r="34" spans="1:8" x14ac:dyDescent="0.35">
      <c r="A34" s="33" t="s">
        <v>74</v>
      </c>
      <c r="B34" s="30">
        <v>-5</v>
      </c>
      <c r="C34" s="30">
        <v>-8</v>
      </c>
      <c r="D34" s="30">
        <v>-6</v>
      </c>
      <c r="E34" s="30">
        <v>-6</v>
      </c>
      <c r="F34" s="30">
        <v>-2</v>
      </c>
      <c r="G34" s="30">
        <v>-3</v>
      </c>
      <c r="H34" s="30">
        <v>-7</v>
      </c>
    </row>
    <row r="35" spans="1:8" x14ac:dyDescent="0.35">
      <c r="A35" s="33" t="s">
        <v>75</v>
      </c>
      <c r="B35" s="30">
        <v>48</v>
      </c>
      <c r="C35" s="30">
        <v>46</v>
      </c>
      <c r="D35" s="30">
        <v>358</v>
      </c>
      <c r="E35" s="30">
        <v>376</v>
      </c>
      <c r="F35" s="30">
        <v>352</v>
      </c>
      <c r="G35" s="30">
        <v>348</v>
      </c>
      <c r="H35" s="30">
        <v>575</v>
      </c>
    </row>
    <row r="36" spans="1:8" x14ac:dyDescent="0.35">
      <c r="A36" s="33" t="s">
        <v>76</v>
      </c>
      <c r="B36" s="30">
        <v>56</v>
      </c>
      <c r="C36" s="30">
        <v>38</v>
      </c>
      <c r="D36" s="30">
        <v>110</v>
      </c>
      <c r="E36" s="30">
        <v>176</v>
      </c>
      <c r="F36" s="30">
        <v>70</v>
      </c>
      <c r="G36" s="30">
        <v>136</v>
      </c>
      <c r="H36" s="30">
        <v>213</v>
      </c>
    </row>
    <row r="37" spans="1:8" x14ac:dyDescent="0.35">
      <c r="A37" s="33" t="s">
        <v>77</v>
      </c>
      <c r="B37" s="30">
        <v>232</v>
      </c>
      <c r="C37" s="30">
        <v>202</v>
      </c>
      <c r="D37" s="30">
        <v>196</v>
      </c>
      <c r="E37" s="30">
        <v>278</v>
      </c>
      <c r="F37" s="30">
        <v>762</v>
      </c>
      <c r="G37" s="32">
        <v>1339</v>
      </c>
      <c r="H37" s="30">
        <v>788</v>
      </c>
    </row>
    <row r="38" spans="1:8" x14ac:dyDescent="0.35">
      <c r="A38" s="23" t="s">
        <v>78</v>
      </c>
      <c r="B38" s="7">
        <v>2774</v>
      </c>
      <c r="C38" s="7">
        <v>3266</v>
      </c>
      <c r="D38" s="7">
        <v>3399</v>
      </c>
      <c r="E38" s="7">
        <v>4452</v>
      </c>
      <c r="F38" s="7">
        <v>5852</v>
      </c>
      <c r="G38" s="7">
        <v>7187</v>
      </c>
      <c r="H38" s="7">
        <v>7596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219A-7BDB-4AA0-9501-B8467423770A}">
  <dimension ref="A1:H28"/>
  <sheetViews>
    <sheetView tabSelected="1" workbookViewId="0">
      <selection activeCell="P14" sqref="P14"/>
    </sheetView>
  </sheetViews>
  <sheetFormatPr defaultRowHeight="14.5" x14ac:dyDescent="0.35"/>
  <cols>
    <col min="1" max="1" width="29.7265625" customWidth="1"/>
  </cols>
  <sheetData>
    <row r="1" spans="1:8" x14ac:dyDescent="0.35">
      <c r="A1" s="28"/>
      <c r="B1" s="28">
        <v>43525</v>
      </c>
      <c r="C1" s="28">
        <v>43891</v>
      </c>
      <c r="D1" s="28">
        <v>44256</v>
      </c>
      <c r="E1" s="28">
        <v>44621</v>
      </c>
      <c r="F1" s="28">
        <v>44986</v>
      </c>
      <c r="G1" s="28">
        <v>45352</v>
      </c>
      <c r="H1" s="35">
        <v>45741</v>
      </c>
    </row>
    <row r="2" spans="1:8" x14ac:dyDescent="0.35">
      <c r="A2" s="19" t="s">
        <v>79</v>
      </c>
      <c r="B2" s="30">
        <v>358</v>
      </c>
      <c r="C2" s="30">
        <v>510</v>
      </c>
      <c r="D2" s="30">
        <v>977</v>
      </c>
      <c r="E2" s="30">
        <v>652</v>
      </c>
      <c r="F2" s="30">
        <v>691</v>
      </c>
      <c r="G2" s="32">
        <v>1112</v>
      </c>
      <c r="H2" s="36">
        <v>1213</v>
      </c>
    </row>
    <row r="3" spans="1:8" x14ac:dyDescent="0.35">
      <c r="A3" s="33" t="s">
        <v>80</v>
      </c>
      <c r="B3" s="30">
        <v>396</v>
      </c>
      <c r="C3" s="30">
        <v>489</v>
      </c>
      <c r="D3" s="30">
        <v>685</v>
      </c>
      <c r="E3" s="30">
        <v>966</v>
      </c>
      <c r="F3" s="32">
        <v>1055</v>
      </c>
      <c r="G3" s="32">
        <v>1205</v>
      </c>
      <c r="H3" s="36">
        <v>1228</v>
      </c>
    </row>
    <row r="4" spans="1:8" x14ac:dyDescent="0.35">
      <c r="A4" s="33" t="s">
        <v>81</v>
      </c>
      <c r="B4" s="30">
        <v>-112</v>
      </c>
      <c r="C4" s="30">
        <v>85</v>
      </c>
      <c r="D4" s="30">
        <v>347</v>
      </c>
      <c r="E4" s="30">
        <v>-211</v>
      </c>
      <c r="F4" s="30">
        <v>199</v>
      </c>
      <c r="G4" s="30">
        <v>-64</v>
      </c>
      <c r="H4" s="37">
        <v>-29</v>
      </c>
    </row>
    <row r="5" spans="1:8" x14ac:dyDescent="0.35">
      <c r="A5" s="33" t="s">
        <v>82</v>
      </c>
      <c r="B5" s="30">
        <v>-192</v>
      </c>
      <c r="C5" s="30">
        <v>28</v>
      </c>
      <c r="D5" s="30">
        <v>23</v>
      </c>
      <c r="E5" s="30">
        <v>-89</v>
      </c>
      <c r="F5" s="30">
        <v>-634</v>
      </c>
      <c r="G5" s="30">
        <v>-160</v>
      </c>
      <c r="H5" s="37">
        <v>-120</v>
      </c>
    </row>
    <row r="6" spans="1:8" x14ac:dyDescent="0.35">
      <c r="A6" s="33" t="s">
        <v>83</v>
      </c>
      <c r="B6" s="30">
        <v>324</v>
      </c>
      <c r="C6" s="30">
        <v>26</v>
      </c>
      <c r="D6" s="30">
        <v>21</v>
      </c>
      <c r="E6" s="30">
        <v>274</v>
      </c>
      <c r="F6" s="30">
        <v>538</v>
      </c>
      <c r="G6" s="30">
        <v>385</v>
      </c>
      <c r="H6" s="37">
        <v>250</v>
      </c>
    </row>
    <row r="7" spans="1:8" x14ac:dyDescent="0.35">
      <c r="A7" s="33" t="s">
        <v>84</v>
      </c>
      <c r="B7" s="30">
        <v>-3</v>
      </c>
      <c r="C7" s="30">
        <v>5</v>
      </c>
      <c r="D7" s="30">
        <v>0</v>
      </c>
      <c r="E7" s="30">
        <v>-3</v>
      </c>
      <c r="F7" s="30">
        <v>-275</v>
      </c>
      <c r="G7" s="30">
        <v>-61</v>
      </c>
      <c r="H7" s="37">
        <v>-8</v>
      </c>
    </row>
    <row r="8" spans="1:8" x14ac:dyDescent="0.35">
      <c r="A8" s="33" t="s">
        <v>85</v>
      </c>
      <c r="B8" s="30">
        <v>12</v>
      </c>
      <c r="C8" s="30">
        <v>-42</v>
      </c>
      <c r="D8" s="30">
        <v>20</v>
      </c>
      <c r="E8" s="30">
        <v>-86</v>
      </c>
      <c r="F8" s="30">
        <v>25</v>
      </c>
      <c r="G8" s="30">
        <v>23</v>
      </c>
      <c r="H8" s="37">
        <v>81</v>
      </c>
    </row>
    <row r="9" spans="1:8" x14ac:dyDescent="0.35">
      <c r="A9" s="33" t="s">
        <v>86</v>
      </c>
      <c r="B9" s="30">
        <v>29</v>
      </c>
      <c r="C9" s="30">
        <v>102</v>
      </c>
      <c r="D9" s="30">
        <v>412</v>
      </c>
      <c r="E9" s="30">
        <v>-115</v>
      </c>
      <c r="F9" s="30">
        <v>-147</v>
      </c>
      <c r="G9" s="30">
        <v>124</v>
      </c>
      <c r="H9" s="37">
        <v>173</v>
      </c>
    </row>
    <row r="10" spans="1:8" x14ac:dyDescent="0.35">
      <c r="A10" s="33" t="s">
        <v>87</v>
      </c>
      <c r="B10" s="30">
        <v>-67</v>
      </c>
      <c r="C10" s="30">
        <v>-82</v>
      </c>
      <c r="D10" s="30">
        <v>-119</v>
      </c>
      <c r="E10" s="30">
        <v>-199</v>
      </c>
      <c r="F10" s="30">
        <v>-216</v>
      </c>
      <c r="G10" s="30">
        <v>-218</v>
      </c>
      <c r="H10" s="37">
        <v>-188</v>
      </c>
    </row>
    <row r="11" spans="1:8" x14ac:dyDescent="0.35">
      <c r="A11" s="23" t="s">
        <v>88</v>
      </c>
      <c r="B11" s="31">
        <v>-264</v>
      </c>
      <c r="C11" s="31">
        <v>-435</v>
      </c>
      <c r="D11" s="31">
        <v>-647</v>
      </c>
      <c r="E11" s="31">
        <v>-530</v>
      </c>
      <c r="F11" s="31">
        <v>-876</v>
      </c>
      <c r="G11" s="31">
        <v>-916</v>
      </c>
      <c r="H11" s="38">
        <v>-375</v>
      </c>
    </row>
    <row r="12" spans="1:8" x14ac:dyDescent="0.35">
      <c r="A12" s="34" t="s">
        <v>89</v>
      </c>
      <c r="B12" s="31" t="s">
        <v>90</v>
      </c>
      <c r="C12" s="31">
        <v>-309</v>
      </c>
      <c r="D12" s="31">
        <v>-287</v>
      </c>
      <c r="E12" s="31">
        <v>-597</v>
      </c>
      <c r="F12" s="31">
        <v>-862</v>
      </c>
      <c r="G12" s="31">
        <v>-695</v>
      </c>
      <c r="H12" s="38">
        <v>-722</v>
      </c>
    </row>
    <row r="13" spans="1:8" x14ac:dyDescent="0.35">
      <c r="A13" s="34" t="s">
        <v>91</v>
      </c>
      <c r="B13" s="31">
        <v>11</v>
      </c>
      <c r="C13" s="31">
        <v>8</v>
      </c>
      <c r="D13" s="31">
        <v>7</v>
      </c>
      <c r="E13" s="31">
        <v>10</v>
      </c>
      <c r="F13" s="31">
        <v>20</v>
      </c>
      <c r="G13" s="31">
        <v>33</v>
      </c>
      <c r="H13" s="38">
        <v>71</v>
      </c>
    </row>
    <row r="14" spans="1:8" x14ac:dyDescent="0.35">
      <c r="A14" s="34" t="s">
        <v>92</v>
      </c>
      <c r="B14" s="31">
        <v>-39</v>
      </c>
      <c r="C14" s="31">
        <v>0</v>
      </c>
      <c r="D14" s="31">
        <v>0</v>
      </c>
      <c r="E14" s="31">
        <v>-87</v>
      </c>
      <c r="F14" s="31">
        <v>-27</v>
      </c>
      <c r="G14" s="31">
        <v>-5</v>
      </c>
      <c r="H14" s="38">
        <v>-36</v>
      </c>
    </row>
    <row r="15" spans="1:8" x14ac:dyDescent="0.35">
      <c r="A15" s="34" t="s">
        <v>93</v>
      </c>
      <c r="B15" s="31">
        <v>0</v>
      </c>
      <c r="C15" s="31">
        <v>0</v>
      </c>
      <c r="D15" s="31">
        <v>0</v>
      </c>
      <c r="E15" s="31">
        <v>0</v>
      </c>
      <c r="F15" s="31">
        <v>5</v>
      </c>
      <c r="G15" s="31">
        <v>1</v>
      </c>
      <c r="H15" s="38">
        <v>0</v>
      </c>
    </row>
    <row r="16" spans="1:8" x14ac:dyDescent="0.35">
      <c r="A16" s="34" t="s">
        <v>94</v>
      </c>
      <c r="B16" s="31">
        <v>1</v>
      </c>
      <c r="C16" s="31">
        <v>4</v>
      </c>
      <c r="D16" s="31">
        <v>20</v>
      </c>
      <c r="E16" s="31">
        <v>15</v>
      </c>
      <c r="F16" s="31">
        <v>1</v>
      </c>
      <c r="G16" s="31">
        <v>39</v>
      </c>
      <c r="H16" s="38">
        <v>66</v>
      </c>
    </row>
    <row r="17" spans="1:8" x14ac:dyDescent="0.35">
      <c r="A17" s="34" t="s">
        <v>95</v>
      </c>
      <c r="B17" s="31">
        <v>0</v>
      </c>
      <c r="C17" s="31">
        <v>-142</v>
      </c>
      <c r="D17" s="31">
        <v>0</v>
      </c>
      <c r="E17" s="31">
        <v>0</v>
      </c>
      <c r="F17" s="31">
        <v>0</v>
      </c>
      <c r="G17" s="31">
        <v>0</v>
      </c>
      <c r="H17" s="38">
        <v>0</v>
      </c>
    </row>
    <row r="18" spans="1:8" x14ac:dyDescent="0.35">
      <c r="A18" s="34" t="s">
        <v>96</v>
      </c>
      <c r="B18" s="31">
        <v>0</v>
      </c>
      <c r="C18" s="31">
        <v>0</v>
      </c>
      <c r="D18" s="31">
        <v>-46</v>
      </c>
      <c r="E18" s="31">
        <v>0</v>
      </c>
      <c r="F18" s="31">
        <v>0</v>
      </c>
      <c r="G18" s="31">
        <v>0</v>
      </c>
      <c r="H18" s="38">
        <v>0</v>
      </c>
    </row>
    <row r="19" spans="1:8" x14ac:dyDescent="0.35">
      <c r="A19" s="34" t="s">
        <v>97</v>
      </c>
      <c r="B19" s="31">
        <v>0</v>
      </c>
      <c r="C19" s="31">
        <v>5</v>
      </c>
      <c r="D19" s="31">
        <v>-341</v>
      </c>
      <c r="E19" s="31">
        <v>129</v>
      </c>
      <c r="F19" s="31">
        <v>-12</v>
      </c>
      <c r="G19" s="31">
        <v>-289</v>
      </c>
      <c r="H19" s="38">
        <v>247</v>
      </c>
    </row>
    <row r="20" spans="1:8" x14ac:dyDescent="0.35">
      <c r="A20" s="19" t="s">
        <v>98</v>
      </c>
      <c r="B20" s="30">
        <v>-53</v>
      </c>
      <c r="C20" s="30">
        <v>-78</v>
      </c>
      <c r="D20" s="30">
        <v>-359</v>
      </c>
      <c r="E20" s="30">
        <v>26</v>
      </c>
      <c r="F20" s="30">
        <v>143</v>
      </c>
      <c r="G20" s="30">
        <v>27</v>
      </c>
      <c r="H20" s="37">
        <v>-815</v>
      </c>
    </row>
    <row r="21" spans="1:8" x14ac:dyDescent="0.35">
      <c r="A21" s="33" t="s">
        <v>99</v>
      </c>
      <c r="B21" s="30">
        <v>6</v>
      </c>
      <c r="C21" s="30">
        <v>177</v>
      </c>
      <c r="D21" s="30">
        <v>15</v>
      </c>
      <c r="E21" s="30">
        <v>7</v>
      </c>
      <c r="F21" s="30">
        <v>3</v>
      </c>
      <c r="G21" s="30">
        <v>3</v>
      </c>
      <c r="H21" s="37">
        <v>0</v>
      </c>
    </row>
    <row r="22" spans="1:8" x14ac:dyDescent="0.35">
      <c r="A22" s="33" t="s">
        <v>100</v>
      </c>
      <c r="B22" s="30">
        <v>306</v>
      </c>
      <c r="C22" s="30">
        <v>383</v>
      </c>
      <c r="D22" s="30">
        <v>141</v>
      </c>
      <c r="E22" s="30">
        <v>239</v>
      </c>
      <c r="F22" s="30">
        <v>355</v>
      </c>
      <c r="G22" s="30">
        <v>546</v>
      </c>
      <c r="H22" s="36">
        <v>1152</v>
      </c>
    </row>
    <row r="23" spans="1:8" x14ac:dyDescent="0.35">
      <c r="A23" s="33" t="s">
        <v>101</v>
      </c>
      <c r="B23" s="30">
        <v>-223</v>
      </c>
      <c r="C23" s="30">
        <v>-478</v>
      </c>
      <c r="D23" s="30">
        <v>-452</v>
      </c>
      <c r="E23" s="30">
        <v>-178</v>
      </c>
      <c r="F23" s="30">
        <v>-65</v>
      </c>
      <c r="G23" s="30">
        <v>-288</v>
      </c>
      <c r="H23" s="36">
        <v>-1666</v>
      </c>
    </row>
    <row r="24" spans="1:8" x14ac:dyDescent="0.35">
      <c r="A24" s="33" t="s">
        <v>102</v>
      </c>
      <c r="B24" s="30">
        <v>-101</v>
      </c>
      <c r="C24" s="30">
        <v>-119</v>
      </c>
      <c r="D24" s="30">
        <v>-62</v>
      </c>
      <c r="E24" s="30">
        <v>-41</v>
      </c>
      <c r="F24" s="30">
        <v>-61</v>
      </c>
      <c r="G24" s="30">
        <v>-94</v>
      </c>
      <c r="H24" s="37">
        <v>-147</v>
      </c>
    </row>
    <row r="25" spans="1:8" x14ac:dyDescent="0.35">
      <c r="A25" s="33" t="s">
        <v>103</v>
      </c>
      <c r="B25" s="30">
        <v>-33</v>
      </c>
      <c r="C25" s="30">
        <v>-34</v>
      </c>
      <c r="D25" s="30">
        <v>0</v>
      </c>
      <c r="E25" s="30">
        <v>0</v>
      </c>
      <c r="F25" s="30">
        <v>-88</v>
      </c>
      <c r="G25" s="30">
        <v>-139</v>
      </c>
      <c r="H25" s="37">
        <v>-153</v>
      </c>
    </row>
    <row r="26" spans="1:8" x14ac:dyDescent="0.35">
      <c r="A26" s="33" t="s">
        <v>104</v>
      </c>
      <c r="B26" s="30">
        <v>0</v>
      </c>
      <c r="C26" s="30">
        <v>-1</v>
      </c>
      <c r="D26" s="30">
        <v>-1</v>
      </c>
      <c r="E26" s="30">
        <v>-1</v>
      </c>
      <c r="F26" s="30">
        <v>-1</v>
      </c>
      <c r="G26" s="30">
        <v>-2</v>
      </c>
      <c r="H26" s="37">
        <v>-2</v>
      </c>
    </row>
    <row r="27" spans="1:8" x14ac:dyDescent="0.35">
      <c r="A27" s="33" t="s">
        <v>105</v>
      </c>
      <c r="B27" s="30">
        <v>-7</v>
      </c>
      <c r="C27" s="30">
        <v>-7</v>
      </c>
      <c r="D27" s="30">
        <v>0</v>
      </c>
      <c r="E27" s="30">
        <v>0</v>
      </c>
      <c r="F27" s="30">
        <v>0</v>
      </c>
      <c r="G27" s="30">
        <v>0</v>
      </c>
      <c r="H27" s="37">
        <v>0</v>
      </c>
    </row>
    <row r="28" spans="1:8" x14ac:dyDescent="0.35">
      <c r="A28" s="23" t="s">
        <v>106</v>
      </c>
      <c r="B28" s="31">
        <v>41</v>
      </c>
      <c r="C28" s="31">
        <v>-3</v>
      </c>
      <c r="D28" s="31">
        <v>-28</v>
      </c>
      <c r="E28" s="31">
        <v>148</v>
      </c>
      <c r="F28" s="31">
        <v>-41</v>
      </c>
      <c r="G28" s="31">
        <v>222</v>
      </c>
      <c r="H28" s="38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3355-4CE8-4A7A-887E-2F728621ED35}">
  <dimension ref="A1:G109"/>
  <sheetViews>
    <sheetView workbookViewId="0">
      <selection sqref="A1:G1"/>
    </sheetView>
  </sheetViews>
  <sheetFormatPr defaultRowHeight="14.5" x14ac:dyDescent="0.35"/>
  <cols>
    <col min="1" max="1" width="29.54296875" bestFit="1" customWidth="1"/>
    <col min="2" max="2" width="12.453125" customWidth="1"/>
    <col min="3" max="3" width="13.453125" customWidth="1"/>
    <col min="4" max="4" width="12.54296875" customWidth="1"/>
    <col min="5" max="5" width="11.90625" customWidth="1"/>
    <col min="6" max="6" width="11.26953125" customWidth="1"/>
    <col min="7" max="7" width="10.26953125" customWidth="1"/>
  </cols>
  <sheetData>
    <row r="1" spans="1:7" ht="21" x14ac:dyDescent="0.5">
      <c r="A1" s="92" t="s">
        <v>139</v>
      </c>
      <c r="B1" s="92"/>
      <c r="C1" s="92"/>
      <c r="D1" s="92"/>
      <c r="E1" s="92"/>
      <c r="F1" s="92"/>
      <c r="G1" s="92"/>
    </row>
    <row r="2" spans="1:7" ht="26" x14ac:dyDescent="0.6">
      <c r="A2" s="39"/>
      <c r="B2" s="40"/>
      <c r="C2" s="40" t="s">
        <v>107</v>
      </c>
      <c r="D2" s="41"/>
      <c r="E2" s="41"/>
      <c r="F2" s="41"/>
      <c r="G2" s="42"/>
    </row>
    <row r="3" spans="1:7" ht="19.5" customHeight="1" x14ac:dyDescent="0.35">
      <c r="A3" s="43"/>
      <c r="B3" s="44">
        <v>43891</v>
      </c>
      <c r="C3" s="44">
        <v>44256</v>
      </c>
      <c r="D3" s="44">
        <v>44621</v>
      </c>
      <c r="E3" s="44">
        <v>44986</v>
      </c>
      <c r="F3" s="44">
        <v>45352</v>
      </c>
      <c r="G3" s="45">
        <v>45717</v>
      </c>
    </row>
    <row r="4" spans="1:7" x14ac:dyDescent="0.35">
      <c r="A4" s="46" t="s">
        <v>108</v>
      </c>
      <c r="B4" s="47">
        <v>61664</v>
      </c>
      <c r="C4" s="47">
        <v>69114</v>
      </c>
      <c r="D4" s="47">
        <v>103477</v>
      </c>
      <c r="E4" s="47">
        <v>104448</v>
      </c>
      <c r="F4" s="47">
        <v>105378</v>
      </c>
      <c r="G4" s="47">
        <v>102479</v>
      </c>
    </row>
    <row r="5" spans="1:7" x14ac:dyDescent="0.35">
      <c r="A5" s="48" t="s">
        <v>18</v>
      </c>
      <c r="B5" s="49">
        <v>-7.9299999999999995E-2</v>
      </c>
      <c r="C5" s="49">
        <v>0.1208</v>
      </c>
      <c r="D5" s="49">
        <v>0.49719999999999998</v>
      </c>
      <c r="E5" s="49">
        <v>9.4000000000000004E-3</v>
      </c>
      <c r="F5" s="49">
        <v>8.8999999999999999E-3</v>
      </c>
      <c r="G5" s="49">
        <v>-2.75E-2</v>
      </c>
    </row>
    <row r="6" spans="1:7" x14ac:dyDescent="0.35">
      <c r="A6" s="48" t="s">
        <v>109</v>
      </c>
      <c r="B6" s="50">
        <v>51400</v>
      </c>
      <c r="C6" s="50">
        <v>56337</v>
      </c>
      <c r="D6" s="50">
        <v>82114</v>
      </c>
      <c r="E6" s="50">
        <v>96410</v>
      </c>
      <c r="F6" s="51">
        <v>94229</v>
      </c>
      <c r="G6" s="51">
        <v>91789</v>
      </c>
    </row>
    <row r="7" spans="1:7" x14ac:dyDescent="0.35">
      <c r="A7" s="48" t="s">
        <v>110</v>
      </c>
      <c r="B7" s="49">
        <v>0.38590000000000002</v>
      </c>
      <c r="C7" s="49">
        <v>0.39779999999999999</v>
      </c>
      <c r="D7" s="49">
        <v>0.4118</v>
      </c>
      <c r="E7" s="49">
        <v>0.54600000000000004</v>
      </c>
      <c r="F7" s="49">
        <v>0.51580000000000004</v>
      </c>
      <c r="G7" s="49">
        <v>0.49759999999999999</v>
      </c>
    </row>
    <row r="8" spans="1:7" x14ac:dyDescent="0.35">
      <c r="A8" s="48" t="s">
        <v>21</v>
      </c>
      <c r="B8" s="51">
        <v>29372</v>
      </c>
      <c r="C8" s="51">
        <v>23214</v>
      </c>
      <c r="D8" s="51">
        <v>42890</v>
      </c>
      <c r="E8" s="51">
        <v>62180</v>
      </c>
      <c r="F8" s="51">
        <v>57709</v>
      </c>
      <c r="G8" s="51">
        <v>50908</v>
      </c>
    </row>
    <row r="9" spans="1:7" x14ac:dyDescent="0.35">
      <c r="A9" s="48" t="s">
        <v>22</v>
      </c>
      <c r="B9" s="51">
        <v>-5578</v>
      </c>
      <c r="C9" s="51">
        <v>4277</v>
      </c>
      <c r="D9" s="48">
        <v>-280</v>
      </c>
      <c r="E9" s="51">
        <v>-5155</v>
      </c>
      <c r="F9" s="51">
        <v>-3355</v>
      </c>
      <c r="G9" s="48">
        <v>89</v>
      </c>
    </row>
    <row r="10" spans="1:7" x14ac:dyDescent="0.35">
      <c r="A10" s="48" t="s">
        <v>23</v>
      </c>
      <c r="B10" s="52">
        <v>0.20119999999999999</v>
      </c>
      <c r="C10" s="52">
        <v>0.1691</v>
      </c>
      <c r="D10" s="52">
        <v>0.13539999999999999</v>
      </c>
      <c r="E10" s="52">
        <v>0.1522</v>
      </c>
      <c r="F10" s="52">
        <v>0.15759999999999999</v>
      </c>
      <c r="G10" s="52">
        <v>0.1694</v>
      </c>
    </row>
    <row r="11" spans="1:7" x14ac:dyDescent="0.35">
      <c r="A11" s="48" t="s">
        <v>24</v>
      </c>
      <c r="B11" s="50">
        <v>0.14269999999999999</v>
      </c>
      <c r="C11" s="50">
        <v>0.15290000000000001</v>
      </c>
      <c r="D11" s="50">
        <v>0.12429999999999999</v>
      </c>
      <c r="E11" s="50">
        <v>0.11559999999999999</v>
      </c>
      <c r="F11" s="49">
        <v>0.11169999999999999</v>
      </c>
      <c r="G11" s="49">
        <v>0.1139</v>
      </c>
    </row>
    <row r="12" spans="1:7" x14ac:dyDescent="0.35">
      <c r="A12" s="48" t="s">
        <v>25</v>
      </c>
      <c r="B12" s="49">
        <v>0.1038</v>
      </c>
      <c r="C12" s="50">
        <v>9.5399999999999999E-2</v>
      </c>
      <c r="D12" s="49">
        <v>0.122</v>
      </c>
      <c r="E12" s="49">
        <v>0.10929999999999999</v>
      </c>
      <c r="F12" s="49">
        <v>0.1091</v>
      </c>
      <c r="G12" s="49">
        <v>0.1147</v>
      </c>
    </row>
    <row r="13" spans="1:7" x14ac:dyDescent="0.35">
      <c r="A13" s="48" t="s">
        <v>26</v>
      </c>
      <c r="B13" s="51">
        <v>10264</v>
      </c>
      <c r="C13" s="51">
        <v>12776</v>
      </c>
      <c r="D13" s="51">
        <v>21363</v>
      </c>
      <c r="E13" s="51">
        <v>8038</v>
      </c>
      <c r="F13" s="51">
        <v>11149</v>
      </c>
      <c r="G13" s="51">
        <v>10690</v>
      </c>
    </row>
    <row r="14" spans="1:7" x14ac:dyDescent="0.35">
      <c r="A14" s="48" t="s">
        <v>27</v>
      </c>
      <c r="B14" s="53">
        <v>0.17</v>
      </c>
      <c r="C14" s="53">
        <v>0.18</v>
      </c>
      <c r="D14" s="53">
        <v>0.21</v>
      </c>
      <c r="E14" s="53">
        <v>0.08</v>
      </c>
      <c r="F14" s="53">
        <v>0.11</v>
      </c>
      <c r="G14" s="53">
        <v>0.1</v>
      </c>
    </row>
    <row r="15" spans="1:7" x14ac:dyDescent="0.35">
      <c r="A15" s="48" t="s">
        <v>111</v>
      </c>
      <c r="B15" s="48">
        <v>280</v>
      </c>
      <c r="C15" s="51">
        <v>1349</v>
      </c>
      <c r="D15" s="48">
        <v>902</v>
      </c>
      <c r="E15" s="51">
        <v>1856</v>
      </c>
      <c r="F15" s="48">
        <v>665</v>
      </c>
      <c r="G15" s="51">
        <v>1006</v>
      </c>
    </row>
    <row r="16" spans="1:7" x14ac:dyDescent="0.35">
      <c r="A16" s="48" t="s">
        <v>29</v>
      </c>
      <c r="B16" s="48">
        <v>-821</v>
      </c>
      <c r="C16" s="48">
        <v>25</v>
      </c>
      <c r="D16" s="48">
        <v>-375</v>
      </c>
      <c r="E16" s="48">
        <v>307</v>
      </c>
      <c r="F16" s="48">
        <v>-711</v>
      </c>
      <c r="G16" s="48">
        <v>-357</v>
      </c>
    </row>
    <row r="17" spans="1:7" x14ac:dyDescent="0.35">
      <c r="A17" s="48" t="s">
        <v>30</v>
      </c>
      <c r="B17" s="51">
        <v>1101</v>
      </c>
      <c r="C17" s="51">
        <v>1324</v>
      </c>
      <c r="D17" s="51">
        <v>1277</v>
      </c>
      <c r="E17" s="51">
        <v>1548</v>
      </c>
      <c r="F17" s="51">
        <v>1376</v>
      </c>
      <c r="G17" s="51">
        <v>1362</v>
      </c>
    </row>
    <row r="18" spans="1:7" x14ac:dyDescent="0.35">
      <c r="A18" s="48" t="s">
        <v>7</v>
      </c>
      <c r="B18" s="51">
        <v>3487</v>
      </c>
      <c r="C18" s="51">
        <v>2817</v>
      </c>
      <c r="D18" s="51">
        <v>1698</v>
      </c>
      <c r="E18" s="51">
        <v>2037</v>
      </c>
      <c r="F18" s="51">
        <v>2474</v>
      </c>
      <c r="G18" s="51">
        <v>2793</v>
      </c>
    </row>
    <row r="19" spans="1:7" x14ac:dyDescent="0.35">
      <c r="A19" s="48" t="s">
        <v>31</v>
      </c>
      <c r="B19" s="51">
        <v>3756</v>
      </c>
      <c r="C19" s="51">
        <v>4103</v>
      </c>
      <c r="D19" s="51">
        <v>4275</v>
      </c>
      <c r="E19" s="51">
        <v>4964</v>
      </c>
      <c r="F19" s="51">
        <v>5278</v>
      </c>
      <c r="G19" s="51">
        <v>5651</v>
      </c>
    </row>
    <row r="20" spans="1:7" x14ac:dyDescent="0.35">
      <c r="A20" s="48" t="s">
        <v>32</v>
      </c>
      <c r="B20" s="50">
        <v>3302</v>
      </c>
      <c r="C20" s="50">
        <v>7206</v>
      </c>
      <c r="D20" s="51">
        <v>16292</v>
      </c>
      <c r="E20" s="51">
        <v>2892</v>
      </c>
      <c r="F20" s="51">
        <v>4062</v>
      </c>
      <c r="G20" s="51">
        <v>3252</v>
      </c>
    </row>
    <row r="21" spans="1:7" x14ac:dyDescent="0.35">
      <c r="A21" s="48" t="s">
        <v>33</v>
      </c>
      <c r="B21" s="53">
        <v>0.36</v>
      </c>
      <c r="C21" s="53">
        <v>0.42</v>
      </c>
      <c r="D21" s="53">
        <v>0.25</v>
      </c>
      <c r="E21" s="53">
        <v>0.25</v>
      </c>
      <c r="F21" s="53">
        <v>0.24</v>
      </c>
      <c r="G21" s="53">
        <v>0.27</v>
      </c>
    </row>
    <row r="22" spans="1:7" x14ac:dyDescent="0.35">
      <c r="A22" s="48" t="s">
        <v>112</v>
      </c>
      <c r="B22" s="51">
        <v>2121</v>
      </c>
      <c r="C22" s="51">
        <v>4148</v>
      </c>
      <c r="D22" s="51">
        <v>12243</v>
      </c>
      <c r="E22" s="51">
        <v>2177</v>
      </c>
      <c r="F22" s="51">
        <v>3067</v>
      </c>
      <c r="G22" s="51">
        <v>2372</v>
      </c>
    </row>
    <row r="23" spans="1:7" x14ac:dyDescent="0.35">
      <c r="A23" s="48" t="s">
        <v>36</v>
      </c>
      <c r="B23" s="48">
        <v>-527</v>
      </c>
      <c r="C23" s="48">
        <v>14</v>
      </c>
      <c r="D23" s="48">
        <v>-282</v>
      </c>
      <c r="E23" s="48">
        <v>231</v>
      </c>
      <c r="F23" s="48">
        <v>-537</v>
      </c>
      <c r="G23" s="48">
        <v>-260</v>
      </c>
    </row>
    <row r="24" spans="1:7" x14ac:dyDescent="0.35">
      <c r="A24" s="48" t="s">
        <v>37</v>
      </c>
      <c r="B24" s="51">
        <v>2648</v>
      </c>
      <c r="C24" s="51">
        <v>4134</v>
      </c>
      <c r="D24" s="51">
        <v>12525</v>
      </c>
      <c r="E24" s="51">
        <v>1945</v>
      </c>
      <c r="F24" s="51">
        <v>3603</v>
      </c>
      <c r="G24" s="51">
        <v>2632</v>
      </c>
    </row>
    <row r="25" spans="1:7" x14ac:dyDescent="0.35">
      <c r="A25" s="48" t="s">
        <v>38</v>
      </c>
      <c r="B25" s="51">
        <v>2648</v>
      </c>
      <c r="C25" s="51">
        <v>4134</v>
      </c>
      <c r="D25" s="51">
        <v>12525</v>
      </c>
      <c r="E25" s="51">
        <v>1945</v>
      </c>
      <c r="F25" s="51">
        <v>3603</v>
      </c>
      <c r="G25" s="51">
        <v>2632</v>
      </c>
    </row>
    <row r="26" spans="1:7" x14ac:dyDescent="0.35">
      <c r="A26" s="48" t="s">
        <v>39</v>
      </c>
      <c r="B26" s="50">
        <v>2121</v>
      </c>
      <c r="C26" s="50">
        <v>4148</v>
      </c>
      <c r="D26" s="50">
        <v>12243</v>
      </c>
      <c r="E26" s="50">
        <v>2177</v>
      </c>
      <c r="F26" s="51">
        <v>3067</v>
      </c>
      <c r="G26" s="51">
        <v>2372</v>
      </c>
    </row>
    <row r="27" spans="1:7" x14ac:dyDescent="0.35">
      <c r="A27" s="48" t="s">
        <v>40</v>
      </c>
      <c r="B27" s="48">
        <v>5.13</v>
      </c>
      <c r="C27" s="48">
        <v>10.039999999999999</v>
      </c>
      <c r="D27" s="48">
        <v>29.64</v>
      </c>
      <c r="E27" s="48">
        <v>5.27</v>
      </c>
      <c r="F27" s="48">
        <v>7.42</v>
      </c>
      <c r="G27" s="48">
        <v>5.74</v>
      </c>
    </row>
    <row r="28" spans="1:7" x14ac:dyDescent="0.35">
      <c r="A28" s="48" t="s">
        <v>41</v>
      </c>
      <c r="B28" s="50">
        <v>0</v>
      </c>
      <c r="C28" s="50">
        <v>0.28000000000000003</v>
      </c>
      <c r="D28" s="50">
        <v>0.3</v>
      </c>
      <c r="E28" s="50">
        <v>0.28000000000000003</v>
      </c>
      <c r="F28" s="53">
        <v>0.27</v>
      </c>
      <c r="G28" s="53">
        <v>0.28000000000000003</v>
      </c>
    </row>
    <row r="29" spans="1:7" x14ac:dyDescent="0.35">
      <c r="A29" s="54" t="s">
        <v>113</v>
      </c>
      <c r="B29" s="55">
        <f t="shared" ref="B29:G29" si="0">B4*B10</f>
        <v>12406.7968</v>
      </c>
      <c r="C29" s="55">
        <f t="shared" si="0"/>
        <v>11687.1774</v>
      </c>
      <c r="D29" s="55">
        <f t="shared" si="0"/>
        <v>14010.7858</v>
      </c>
      <c r="E29" s="55">
        <f t="shared" si="0"/>
        <v>15896.9856</v>
      </c>
      <c r="F29" s="55">
        <f t="shared" si="0"/>
        <v>16607.572799999998</v>
      </c>
      <c r="G29" s="55">
        <f t="shared" si="0"/>
        <v>17359.942599999998</v>
      </c>
    </row>
    <row r="30" spans="1:7" x14ac:dyDescent="0.35">
      <c r="A30" s="56" t="s">
        <v>114</v>
      </c>
      <c r="B30" s="57">
        <f t="shared" ref="B30:G30" si="1">B4-B29</f>
        <v>49257.203200000004</v>
      </c>
      <c r="C30" s="57">
        <f t="shared" si="1"/>
        <v>57426.8226</v>
      </c>
      <c r="D30" s="57">
        <f t="shared" si="1"/>
        <v>89466.214200000002</v>
      </c>
      <c r="E30" s="57">
        <f t="shared" si="1"/>
        <v>88551.0144</v>
      </c>
      <c r="F30" s="57">
        <f t="shared" si="1"/>
        <v>88770.427200000006</v>
      </c>
      <c r="G30" s="57">
        <f t="shared" si="1"/>
        <v>85119.057400000005</v>
      </c>
    </row>
    <row r="31" spans="1:7" x14ac:dyDescent="0.35">
      <c r="A31" s="56" t="s">
        <v>115</v>
      </c>
      <c r="B31" s="57"/>
      <c r="C31" s="57">
        <f>C4-B4</f>
        <v>7450</v>
      </c>
      <c r="D31" s="57">
        <f>D4-C4</f>
        <v>34363</v>
      </c>
      <c r="E31" s="57">
        <f>E4-D4</f>
        <v>971</v>
      </c>
      <c r="F31" s="57">
        <f>F4-E4</f>
        <v>930</v>
      </c>
      <c r="G31" s="57">
        <f>G4-F4</f>
        <v>-2899</v>
      </c>
    </row>
    <row r="32" spans="1:7" x14ac:dyDescent="0.35">
      <c r="A32" s="58" t="s">
        <v>116</v>
      </c>
      <c r="B32" s="58">
        <f t="shared" ref="B32:G32" si="2">B9/2</f>
        <v>-2789</v>
      </c>
      <c r="C32" s="58">
        <f t="shared" si="2"/>
        <v>2138.5</v>
      </c>
      <c r="D32" s="58">
        <f t="shared" si="2"/>
        <v>-140</v>
      </c>
      <c r="E32" s="58">
        <f t="shared" si="2"/>
        <v>-2577.5</v>
      </c>
      <c r="F32" s="58">
        <f t="shared" si="2"/>
        <v>-1677.5</v>
      </c>
      <c r="G32" s="58">
        <f t="shared" si="2"/>
        <v>44.5</v>
      </c>
    </row>
    <row r="33" spans="1:7" x14ac:dyDescent="0.35">
      <c r="A33" s="59" t="s">
        <v>117</v>
      </c>
      <c r="B33" s="60">
        <f t="shared" ref="B33:G33" si="3">B26/B27</f>
        <v>413.4502923976608</v>
      </c>
      <c r="C33" s="60">
        <f t="shared" si="3"/>
        <v>413.14741035856576</v>
      </c>
      <c r="D33" s="60">
        <f t="shared" si="3"/>
        <v>413.05668016194329</v>
      </c>
      <c r="E33" s="60">
        <f t="shared" si="3"/>
        <v>413.09297912713475</v>
      </c>
      <c r="F33" s="60">
        <f t="shared" si="3"/>
        <v>413.3423180592992</v>
      </c>
      <c r="G33" s="60">
        <f t="shared" si="3"/>
        <v>413.24041811846689</v>
      </c>
    </row>
    <row r="34" spans="1:7" x14ac:dyDescent="0.35">
      <c r="B34" s="61"/>
      <c r="C34" s="61"/>
      <c r="D34" s="61"/>
      <c r="E34" s="61"/>
    </row>
    <row r="37" spans="1:7" x14ac:dyDescent="0.35">
      <c r="B37" s="61"/>
      <c r="C37" s="61"/>
      <c r="D37" s="61"/>
      <c r="E37" s="61"/>
    </row>
    <row r="44" spans="1:7" x14ac:dyDescent="0.35">
      <c r="B44" s="61"/>
      <c r="D44" s="61"/>
      <c r="E44" s="61"/>
    </row>
    <row r="53" spans="2:5" x14ac:dyDescent="0.35">
      <c r="B53" s="61"/>
      <c r="C53" s="61"/>
      <c r="D53" s="61"/>
      <c r="E53" s="61"/>
    </row>
    <row r="67" spans="2:5" x14ac:dyDescent="0.35">
      <c r="B67" s="61"/>
      <c r="C67" s="61"/>
    </row>
    <row r="79" spans="2:5" x14ac:dyDescent="0.35">
      <c r="B79" s="61"/>
      <c r="C79" s="61"/>
      <c r="D79" s="61"/>
      <c r="E79" s="61"/>
    </row>
    <row r="80" spans="2:5" x14ac:dyDescent="0.35">
      <c r="B80" s="61"/>
      <c r="C80" s="61"/>
      <c r="E80" s="61"/>
    </row>
    <row r="81" spans="2:5" x14ac:dyDescent="0.35">
      <c r="B81" s="61"/>
      <c r="C81" s="61"/>
      <c r="D81" s="61"/>
      <c r="E81" s="61"/>
    </row>
    <row r="85" spans="2:5" x14ac:dyDescent="0.35">
      <c r="B85" s="61"/>
      <c r="C85" s="61"/>
      <c r="D85" s="61"/>
      <c r="E85" s="61"/>
    </row>
    <row r="86" spans="2:5" x14ac:dyDescent="0.35">
      <c r="B86" s="61"/>
      <c r="C86" s="61"/>
      <c r="D86" s="61"/>
      <c r="E86" s="61"/>
    </row>
    <row r="88" spans="2:5" x14ac:dyDescent="0.35">
      <c r="B88" s="61"/>
      <c r="D88" s="61"/>
      <c r="E88" s="61"/>
    </row>
    <row r="92" spans="2:5" x14ac:dyDescent="0.35">
      <c r="B92" s="61"/>
      <c r="D92" s="61"/>
      <c r="E92" s="61"/>
    </row>
    <row r="94" spans="2:5" x14ac:dyDescent="0.35">
      <c r="B94" s="61"/>
      <c r="D94" s="61"/>
      <c r="E94" s="61"/>
    </row>
    <row r="96" spans="2:5" x14ac:dyDescent="0.35">
      <c r="B96" s="61"/>
      <c r="D96" s="61"/>
      <c r="E96" s="61"/>
    </row>
    <row r="104" spans="2:5" x14ac:dyDescent="0.35">
      <c r="B104" s="61"/>
      <c r="D104" s="61"/>
      <c r="E104" s="61"/>
    </row>
    <row r="107" spans="2:5" x14ac:dyDescent="0.35">
      <c r="B107" s="61"/>
      <c r="C107" s="61"/>
      <c r="D107" s="61"/>
      <c r="E107" s="61"/>
    </row>
    <row r="109" spans="2:5" x14ac:dyDescent="0.35">
      <c r="B109" s="61"/>
      <c r="C109" s="61"/>
      <c r="D109" s="61"/>
      <c r="E109" s="61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FCA5-8FA3-4E36-B752-3C7802A3B623}">
  <dimension ref="A1:G47"/>
  <sheetViews>
    <sheetView workbookViewId="0"/>
  </sheetViews>
  <sheetFormatPr defaultRowHeight="14.5" x14ac:dyDescent="0.35"/>
  <cols>
    <col min="1" max="1" width="35.81640625" customWidth="1"/>
    <col min="2" max="2" width="20.36328125" customWidth="1"/>
    <col min="3" max="3" width="14.81640625" customWidth="1"/>
    <col min="4" max="4" width="18.54296875" customWidth="1"/>
    <col min="5" max="5" width="14.36328125" customWidth="1"/>
  </cols>
  <sheetData>
    <row r="1" spans="1:7" ht="26" x14ac:dyDescent="0.6">
      <c r="A1" s="62"/>
      <c r="B1" s="63"/>
      <c r="C1" s="63" t="s">
        <v>118</v>
      </c>
      <c r="D1" s="41"/>
      <c r="E1" s="41"/>
      <c r="F1" s="41"/>
      <c r="G1" s="42"/>
    </row>
    <row r="2" spans="1:7" x14ac:dyDescent="0.35">
      <c r="A2" s="64"/>
      <c r="B2" s="65">
        <v>43891</v>
      </c>
      <c r="C2" s="65">
        <v>44256</v>
      </c>
      <c r="D2" s="65">
        <v>44621</v>
      </c>
      <c r="E2" s="65">
        <v>44986</v>
      </c>
      <c r="F2" s="65">
        <v>45352</v>
      </c>
      <c r="G2" s="65">
        <v>45717</v>
      </c>
    </row>
    <row r="3" spans="1:7" x14ac:dyDescent="0.35">
      <c r="A3" s="4" t="s">
        <v>42</v>
      </c>
      <c r="B3" s="11">
        <v>4131</v>
      </c>
      <c r="C3" s="11">
        <v>4131</v>
      </c>
      <c r="D3" s="11">
        <v>4131</v>
      </c>
      <c r="E3" s="11">
        <v>4131</v>
      </c>
      <c r="F3" s="11">
        <v>4131</v>
      </c>
      <c r="G3" s="11">
        <v>4131</v>
      </c>
    </row>
    <row r="4" spans="1:7" x14ac:dyDescent="0.35">
      <c r="A4" s="4" t="s">
        <v>43</v>
      </c>
      <c r="B4" s="11">
        <v>37380</v>
      </c>
      <c r="C4" s="11">
        <v>41276</v>
      </c>
      <c r="D4" s="11">
        <v>50081</v>
      </c>
      <c r="E4" s="11">
        <v>50616</v>
      </c>
      <c r="F4" s="11">
        <v>52971</v>
      </c>
      <c r="G4" s="11">
        <v>54775</v>
      </c>
    </row>
    <row r="5" spans="1:7" x14ac:dyDescent="0.35">
      <c r="A5" s="66" t="s">
        <v>119</v>
      </c>
      <c r="B5" s="67">
        <f t="shared" ref="B5:G5" si="0">B3+B4</f>
        <v>41511</v>
      </c>
      <c r="C5" s="67">
        <f t="shared" si="0"/>
        <v>45407</v>
      </c>
      <c r="D5" s="67">
        <f t="shared" si="0"/>
        <v>54212</v>
      </c>
      <c r="E5" s="67">
        <f t="shared" si="0"/>
        <v>54747</v>
      </c>
      <c r="F5" s="67">
        <f t="shared" si="0"/>
        <v>57102</v>
      </c>
      <c r="G5" s="67">
        <f t="shared" si="0"/>
        <v>58906</v>
      </c>
    </row>
    <row r="6" spans="1:7" x14ac:dyDescent="0.35">
      <c r="A6" s="4" t="s">
        <v>120</v>
      </c>
      <c r="B6" s="11">
        <v>54127</v>
      </c>
      <c r="C6" s="11">
        <v>37677</v>
      </c>
      <c r="D6" s="11">
        <v>17284</v>
      </c>
      <c r="E6" s="11">
        <v>30773</v>
      </c>
      <c r="F6" s="11">
        <v>36323</v>
      </c>
      <c r="G6" s="11">
        <v>36934</v>
      </c>
    </row>
    <row r="7" spans="1:7" x14ac:dyDescent="0.35">
      <c r="A7" s="4" t="s">
        <v>45</v>
      </c>
      <c r="B7" s="11">
        <v>34560</v>
      </c>
      <c r="C7" s="11">
        <v>17907</v>
      </c>
      <c r="D7" s="11">
        <v>8136</v>
      </c>
      <c r="E7" s="11">
        <v>6113</v>
      </c>
      <c r="F7" s="11">
        <v>9568</v>
      </c>
      <c r="G7" s="11">
        <v>10101</v>
      </c>
    </row>
    <row r="8" spans="1:7" x14ac:dyDescent="0.35">
      <c r="A8" s="4" t="s">
        <v>46</v>
      </c>
      <c r="B8" s="68">
        <v>16641</v>
      </c>
      <c r="C8" s="68">
        <v>17701</v>
      </c>
      <c r="D8" s="68">
        <v>5250</v>
      </c>
      <c r="E8" s="68">
        <v>19549</v>
      </c>
      <c r="F8" s="11">
        <v>21033</v>
      </c>
      <c r="G8" s="11">
        <v>19710</v>
      </c>
    </row>
    <row r="9" spans="1:7" x14ac:dyDescent="0.35">
      <c r="A9" s="4" t="s">
        <v>47</v>
      </c>
      <c r="B9" s="4">
        <v>0</v>
      </c>
      <c r="C9" s="11">
        <v>2069</v>
      </c>
      <c r="D9" s="11">
        <v>3899</v>
      </c>
      <c r="E9" s="11">
        <v>5112</v>
      </c>
      <c r="F9" s="11">
        <v>5722</v>
      </c>
      <c r="G9" s="11">
        <v>7123</v>
      </c>
    </row>
    <row r="10" spans="1:7" x14ac:dyDescent="0.35">
      <c r="A10" s="4" t="s">
        <v>48</v>
      </c>
      <c r="B10" s="11">
        <v>2926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35">
      <c r="A11" s="66" t="s">
        <v>121</v>
      </c>
      <c r="B11" s="67">
        <f t="shared" ref="B11:G11" si="1">B7+B8+B9+B10</f>
        <v>54127</v>
      </c>
      <c r="C11" s="67">
        <f t="shared" si="1"/>
        <v>37677</v>
      </c>
      <c r="D11" s="67">
        <f t="shared" si="1"/>
        <v>17285</v>
      </c>
      <c r="E11" s="67">
        <f t="shared" si="1"/>
        <v>30774</v>
      </c>
      <c r="F11" s="67">
        <f t="shared" si="1"/>
        <v>36323</v>
      </c>
      <c r="G11" s="67">
        <f t="shared" si="1"/>
        <v>36934</v>
      </c>
    </row>
    <row r="12" spans="1:7" x14ac:dyDescent="0.35">
      <c r="A12" s="4" t="s">
        <v>122</v>
      </c>
      <c r="B12" s="11">
        <v>31560</v>
      </c>
      <c r="C12" s="11">
        <v>35007</v>
      </c>
      <c r="D12" s="11">
        <v>48885</v>
      </c>
      <c r="E12" s="11">
        <v>45262</v>
      </c>
      <c r="F12" s="11">
        <v>47598</v>
      </c>
      <c r="G12" s="11">
        <v>40878</v>
      </c>
    </row>
    <row r="13" spans="1:7" x14ac:dyDescent="0.35">
      <c r="A13" s="4" t="s">
        <v>51</v>
      </c>
      <c r="B13" s="11">
        <v>6322</v>
      </c>
      <c r="C13" s="11">
        <v>8043</v>
      </c>
      <c r="D13" s="11">
        <v>16676</v>
      </c>
      <c r="E13" s="11">
        <v>14342</v>
      </c>
      <c r="F13" s="11">
        <v>15332</v>
      </c>
      <c r="G13" s="11">
        <v>10504</v>
      </c>
    </row>
    <row r="14" spans="1:7" x14ac:dyDescent="0.35">
      <c r="A14" s="4" t="s">
        <v>52</v>
      </c>
      <c r="B14" s="11">
        <v>1221</v>
      </c>
      <c r="C14" s="11">
        <v>1837</v>
      </c>
      <c r="D14" s="11">
        <v>1844</v>
      </c>
      <c r="E14" s="11">
        <v>1472</v>
      </c>
      <c r="F14" s="11">
        <v>1513</v>
      </c>
      <c r="G14" s="11">
        <v>1526</v>
      </c>
    </row>
    <row r="15" spans="1:7" x14ac:dyDescent="0.35">
      <c r="A15" s="4" t="s">
        <v>53</v>
      </c>
      <c r="B15" s="11">
        <v>24017</v>
      </c>
      <c r="C15" s="11">
        <v>25127</v>
      </c>
      <c r="D15" s="11">
        <v>30365</v>
      </c>
      <c r="E15" s="11">
        <v>29448</v>
      </c>
      <c r="F15" s="11">
        <v>30753</v>
      </c>
      <c r="G15" s="11">
        <v>28848</v>
      </c>
    </row>
    <row r="16" spans="1:7" x14ac:dyDescent="0.35">
      <c r="A16" s="66" t="s">
        <v>123</v>
      </c>
      <c r="B16" s="67">
        <f t="shared" ref="B16:G16" si="2">(B13+B14+B15+B8+B9)</f>
        <v>48201</v>
      </c>
      <c r="C16" s="67">
        <f t="shared" si="2"/>
        <v>54777</v>
      </c>
      <c r="D16" s="67">
        <f t="shared" si="2"/>
        <v>58034</v>
      </c>
      <c r="E16" s="67">
        <f t="shared" si="2"/>
        <v>69923</v>
      </c>
      <c r="F16" s="67">
        <f t="shared" si="2"/>
        <v>74353</v>
      </c>
      <c r="G16" s="67">
        <f t="shared" si="2"/>
        <v>67711</v>
      </c>
    </row>
    <row r="17" spans="1:7" x14ac:dyDescent="0.35">
      <c r="A17" s="4" t="s">
        <v>54</v>
      </c>
      <c r="B17" s="68">
        <v>127198</v>
      </c>
      <c r="C17" s="68">
        <v>118090</v>
      </c>
      <c r="D17" s="68">
        <v>120381</v>
      </c>
      <c r="E17" s="68">
        <v>130782</v>
      </c>
      <c r="F17" s="11">
        <v>141022</v>
      </c>
      <c r="G17" s="11">
        <v>136718</v>
      </c>
    </row>
    <row r="18" spans="1:7" x14ac:dyDescent="0.35">
      <c r="A18" s="69" t="s">
        <v>124</v>
      </c>
      <c r="B18" s="70">
        <f t="shared" ref="B18:G18" si="3">B13+B14+B15</f>
        <v>31560</v>
      </c>
      <c r="C18" s="70">
        <f t="shared" si="3"/>
        <v>35007</v>
      </c>
      <c r="D18" s="70">
        <f t="shared" si="3"/>
        <v>48885</v>
      </c>
      <c r="E18" s="70">
        <f t="shared" si="3"/>
        <v>45262</v>
      </c>
      <c r="F18" s="70">
        <f t="shared" si="3"/>
        <v>47598</v>
      </c>
      <c r="G18" s="70">
        <f t="shared" si="3"/>
        <v>40878</v>
      </c>
    </row>
    <row r="19" spans="1:7" x14ac:dyDescent="0.35">
      <c r="A19" s="4" t="s">
        <v>125</v>
      </c>
      <c r="B19" s="11">
        <v>69034</v>
      </c>
      <c r="C19" s="11">
        <v>67618</v>
      </c>
      <c r="D19" s="11">
        <v>73677</v>
      </c>
      <c r="E19" s="11">
        <v>73543</v>
      </c>
      <c r="F19" s="11">
        <v>72426</v>
      </c>
      <c r="G19" s="11">
        <v>73327</v>
      </c>
    </row>
    <row r="20" spans="1:7" x14ac:dyDescent="0.35">
      <c r="A20" s="4" t="s">
        <v>56</v>
      </c>
      <c r="B20" s="68">
        <v>323</v>
      </c>
      <c r="C20" s="68">
        <v>372</v>
      </c>
      <c r="D20" s="68">
        <v>372</v>
      </c>
      <c r="E20" s="68">
        <v>374</v>
      </c>
      <c r="F20" s="4">
        <v>378</v>
      </c>
      <c r="G20" s="4">
        <v>427</v>
      </c>
    </row>
    <row r="21" spans="1:7" x14ac:dyDescent="0.35">
      <c r="A21" s="4" t="s">
        <v>57</v>
      </c>
      <c r="B21" s="11">
        <v>7653</v>
      </c>
      <c r="C21" s="11">
        <v>7770</v>
      </c>
      <c r="D21" s="11">
        <v>8182</v>
      </c>
      <c r="E21" s="11">
        <v>8368</v>
      </c>
      <c r="F21" s="11">
        <v>8708</v>
      </c>
      <c r="G21" s="11">
        <v>9094</v>
      </c>
    </row>
    <row r="22" spans="1:7" x14ac:dyDescent="0.35">
      <c r="A22" s="4" t="s">
        <v>58</v>
      </c>
      <c r="B22" s="11">
        <v>95266</v>
      </c>
      <c r="C22" s="11">
        <v>97198</v>
      </c>
      <c r="D22" s="11">
        <v>104296</v>
      </c>
      <c r="E22" s="11">
        <v>106534</v>
      </c>
      <c r="F22" s="11">
        <v>108725</v>
      </c>
      <c r="G22" s="11">
        <v>111130</v>
      </c>
    </row>
    <row r="23" spans="1:7" x14ac:dyDescent="0.35">
      <c r="A23" s="4" t="s">
        <v>59</v>
      </c>
      <c r="B23" s="4">
        <v>66</v>
      </c>
      <c r="C23" s="4">
        <v>67</v>
      </c>
      <c r="D23" s="4">
        <v>67</v>
      </c>
      <c r="E23" s="4">
        <v>69</v>
      </c>
      <c r="F23" s="4">
        <v>71</v>
      </c>
      <c r="G23" s="4">
        <v>84</v>
      </c>
    </row>
    <row r="24" spans="1:7" x14ac:dyDescent="0.35">
      <c r="A24" s="4" t="s">
        <v>60</v>
      </c>
      <c r="B24" s="4">
        <v>454</v>
      </c>
      <c r="C24" s="4">
        <v>461</v>
      </c>
      <c r="D24" s="4">
        <v>465</v>
      </c>
      <c r="E24" s="4">
        <v>491</v>
      </c>
      <c r="F24" s="4">
        <v>546</v>
      </c>
      <c r="G24" s="4">
        <v>595</v>
      </c>
    </row>
    <row r="25" spans="1:7" x14ac:dyDescent="0.35">
      <c r="A25" s="4" t="s">
        <v>61</v>
      </c>
      <c r="B25" s="68">
        <v>167</v>
      </c>
      <c r="C25" s="68">
        <v>172</v>
      </c>
      <c r="D25" s="68">
        <v>176</v>
      </c>
      <c r="E25" s="68">
        <v>181</v>
      </c>
      <c r="F25" s="4">
        <v>190</v>
      </c>
      <c r="G25" s="4">
        <v>216</v>
      </c>
    </row>
    <row r="26" spans="1:7" x14ac:dyDescent="0.35">
      <c r="A26" s="4" t="s">
        <v>126</v>
      </c>
      <c r="B26" s="4">
        <v>912</v>
      </c>
      <c r="C26" s="11">
        <v>1033</v>
      </c>
      <c r="D26" s="11">
        <v>1049</v>
      </c>
      <c r="E26" s="11">
        <v>1099</v>
      </c>
      <c r="F26" s="11">
        <v>1113</v>
      </c>
      <c r="G26" s="11">
        <v>1150</v>
      </c>
    </row>
    <row r="27" spans="1:7" x14ac:dyDescent="0.35">
      <c r="A27" s="4" t="s">
        <v>62</v>
      </c>
      <c r="B27" s="11">
        <v>1394</v>
      </c>
      <c r="C27" s="11">
        <v>1407</v>
      </c>
      <c r="D27" s="11">
        <v>1436</v>
      </c>
      <c r="E27" s="11">
        <v>1624</v>
      </c>
      <c r="F27" s="11">
        <v>1694</v>
      </c>
      <c r="G27" s="11">
        <v>1873</v>
      </c>
    </row>
    <row r="28" spans="1:7" x14ac:dyDescent="0.35">
      <c r="A28" s="4" t="s">
        <v>64</v>
      </c>
      <c r="B28" s="11">
        <v>6502</v>
      </c>
      <c r="C28" s="11">
        <v>6644</v>
      </c>
      <c r="D28" s="11">
        <v>8778</v>
      </c>
      <c r="E28" s="11">
        <v>10067</v>
      </c>
      <c r="F28" s="11">
        <v>11177</v>
      </c>
      <c r="G28" s="11">
        <v>13127</v>
      </c>
    </row>
    <row r="29" spans="1:7" x14ac:dyDescent="0.35">
      <c r="A29" s="4" t="s">
        <v>65</v>
      </c>
      <c r="B29" s="68">
        <v>112738</v>
      </c>
      <c r="C29" s="68">
        <v>115124</v>
      </c>
      <c r="D29" s="68">
        <v>124820</v>
      </c>
      <c r="E29" s="68">
        <v>128807</v>
      </c>
      <c r="F29" s="11">
        <v>132602</v>
      </c>
      <c r="G29" s="11">
        <v>137698</v>
      </c>
    </row>
    <row r="30" spans="1:7" x14ac:dyDescent="0.35">
      <c r="A30" s="4" t="s">
        <v>66</v>
      </c>
      <c r="B30" s="68">
        <v>43704</v>
      </c>
      <c r="C30" s="68">
        <v>47506</v>
      </c>
      <c r="D30" s="68">
        <v>51143</v>
      </c>
      <c r="E30" s="68">
        <v>55264</v>
      </c>
      <c r="F30" s="11">
        <v>60176</v>
      </c>
      <c r="G30" s="11">
        <v>64371</v>
      </c>
    </row>
    <row r="31" spans="1:7" x14ac:dyDescent="0.35">
      <c r="A31" s="4" t="s">
        <v>67</v>
      </c>
      <c r="B31" s="11">
        <v>8753</v>
      </c>
      <c r="C31" s="11">
        <v>8881</v>
      </c>
      <c r="D31" s="11">
        <v>4710</v>
      </c>
      <c r="E31" s="11">
        <v>4891</v>
      </c>
      <c r="F31" s="11">
        <v>6141</v>
      </c>
      <c r="G31" s="11">
        <v>7206</v>
      </c>
    </row>
    <row r="32" spans="1:7" x14ac:dyDescent="0.35">
      <c r="A32" s="4" t="s">
        <v>68</v>
      </c>
      <c r="B32" s="11">
        <v>3240</v>
      </c>
      <c r="C32" s="11">
        <v>3442</v>
      </c>
      <c r="D32" s="11">
        <v>3757</v>
      </c>
      <c r="E32" s="11">
        <v>4185</v>
      </c>
      <c r="F32" s="11">
        <v>4589</v>
      </c>
      <c r="G32" s="11">
        <v>4976</v>
      </c>
    </row>
    <row r="33" spans="1:7" x14ac:dyDescent="0.35">
      <c r="A33" s="4" t="s">
        <v>127</v>
      </c>
      <c r="B33" s="68">
        <v>46170</v>
      </c>
      <c r="C33" s="68">
        <v>38149</v>
      </c>
      <c r="D33" s="68">
        <v>38237</v>
      </c>
      <c r="E33" s="68">
        <v>48163</v>
      </c>
      <c r="F33" s="11">
        <v>57867</v>
      </c>
      <c r="G33" s="11">
        <v>51209</v>
      </c>
    </row>
    <row r="34" spans="1:7" x14ac:dyDescent="0.35">
      <c r="A34" s="4" t="s">
        <v>70</v>
      </c>
      <c r="B34" s="11">
        <v>24106</v>
      </c>
      <c r="C34" s="11">
        <v>15605</v>
      </c>
      <c r="D34" s="11">
        <v>19840</v>
      </c>
      <c r="E34" s="11">
        <v>28066</v>
      </c>
      <c r="F34" s="11">
        <v>33035</v>
      </c>
      <c r="G34" s="11">
        <v>29498</v>
      </c>
    </row>
    <row r="35" spans="1:7" x14ac:dyDescent="0.35">
      <c r="A35" s="4" t="s">
        <v>128</v>
      </c>
      <c r="B35" s="68">
        <v>8845</v>
      </c>
      <c r="C35" s="68">
        <v>8169</v>
      </c>
      <c r="D35" s="68">
        <v>4771</v>
      </c>
      <c r="E35" s="68">
        <v>5390</v>
      </c>
      <c r="F35" s="11">
        <v>8355</v>
      </c>
      <c r="G35" s="11">
        <v>7610</v>
      </c>
    </row>
    <row r="36" spans="1:7" x14ac:dyDescent="0.35">
      <c r="A36" s="4" t="s">
        <v>72</v>
      </c>
      <c r="B36" s="4">
        <v>0</v>
      </c>
      <c r="C36" s="4">
        <v>0</v>
      </c>
      <c r="D36" s="4">
        <v>0</v>
      </c>
      <c r="E36" s="4">
        <v>0</v>
      </c>
      <c r="F36" s="4">
        <v>602</v>
      </c>
      <c r="G36" s="4">
        <v>678</v>
      </c>
    </row>
    <row r="37" spans="1:7" x14ac:dyDescent="0.35">
      <c r="A37" s="4" t="s">
        <v>73</v>
      </c>
      <c r="B37" s="11">
        <v>9052</v>
      </c>
      <c r="C37" s="11">
        <v>8405</v>
      </c>
      <c r="D37" s="11">
        <v>5032</v>
      </c>
      <c r="E37" s="11">
        <v>5701</v>
      </c>
      <c r="F37" s="11">
        <v>8028</v>
      </c>
      <c r="G37" s="11">
        <v>7218</v>
      </c>
    </row>
    <row r="38" spans="1:7" x14ac:dyDescent="0.35">
      <c r="A38" s="4" t="s">
        <v>74</v>
      </c>
      <c r="B38" s="4">
        <v>-208</v>
      </c>
      <c r="C38" s="4">
        <v>-237</v>
      </c>
      <c r="D38" s="4">
        <v>-261</v>
      </c>
      <c r="E38" s="4">
        <v>-311</v>
      </c>
      <c r="F38" s="4">
        <v>-275</v>
      </c>
      <c r="G38" s="4">
        <v>-286</v>
      </c>
    </row>
    <row r="39" spans="1:7" x14ac:dyDescent="0.35">
      <c r="A39" s="4" t="s">
        <v>75</v>
      </c>
      <c r="B39" s="4">
        <v>445</v>
      </c>
      <c r="C39" s="4">
        <v>796</v>
      </c>
      <c r="D39" s="4">
        <v>786</v>
      </c>
      <c r="E39" s="4">
        <v>551</v>
      </c>
      <c r="F39" s="4">
        <v>673</v>
      </c>
      <c r="G39" s="4">
        <v>967</v>
      </c>
    </row>
    <row r="40" spans="1:7" x14ac:dyDescent="0.35">
      <c r="A40" s="4" t="s">
        <v>76</v>
      </c>
      <c r="B40" s="4">
        <v>132</v>
      </c>
      <c r="C40" s="4">
        <v>198</v>
      </c>
      <c r="D40" s="4">
        <v>222</v>
      </c>
      <c r="E40" s="4">
        <v>118</v>
      </c>
      <c r="F40" s="11">
        <v>1262</v>
      </c>
      <c r="G40" s="4">
        <v>594</v>
      </c>
    </row>
    <row r="41" spans="1:7" x14ac:dyDescent="0.35">
      <c r="A41" s="4" t="s">
        <v>77</v>
      </c>
      <c r="B41" s="11">
        <v>12641</v>
      </c>
      <c r="C41" s="11">
        <v>13380</v>
      </c>
      <c r="D41" s="11">
        <v>12617</v>
      </c>
      <c r="E41" s="11">
        <v>14038</v>
      </c>
      <c r="F41" s="11">
        <v>14541</v>
      </c>
      <c r="G41" s="11">
        <v>12540</v>
      </c>
    </row>
    <row r="42" spans="1:7" x14ac:dyDescent="0.35">
      <c r="A42" s="4" t="s">
        <v>78</v>
      </c>
      <c r="B42" s="11">
        <v>127198</v>
      </c>
      <c r="C42" s="11">
        <v>118090</v>
      </c>
      <c r="D42" s="11">
        <v>120381</v>
      </c>
      <c r="E42" s="11">
        <v>130782</v>
      </c>
      <c r="F42" s="11">
        <v>141022</v>
      </c>
      <c r="G42" s="11">
        <v>136718</v>
      </c>
    </row>
    <row r="43" spans="1:7" x14ac:dyDescent="0.35">
      <c r="A43" s="66" t="s">
        <v>129</v>
      </c>
      <c r="B43" s="67">
        <f t="shared" ref="B43:G43" si="4">(B34+B35+B36+B37)-(B38+B39+B40+B41)</f>
        <v>28993</v>
      </c>
      <c r="C43" s="67">
        <f t="shared" si="4"/>
        <v>18042</v>
      </c>
      <c r="D43" s="67">
        <f t="shared" si="4"/>
        <v>16279</v>
      </c>
      <c r="E43" s="67">
        <f t="shared" si="4"/>
        <v>24761</v>
      </c>
      <c r="F43" s="67">
        <f t="shared" si="4"/>
        <v>33819</v>
      </c>
      <c r="G43" s="67">
        <f t="shared" si="4"/>
        <v>31189</v>
      </c>
    </row>
    <row r="44" spans="1:7" x14ac:dyDescent="0.35">
      <c r="A44" s="71" t="s">
        <v>130</v>
      </c>
      <c r="B44" s="72">
        <f t="shared" ref="B44:G44" si="5">(B43-B39)+B19</f>
        <v>97582</v>
      </c>
      <c r="C44" s="72">
        <f t="shared" si="5"/>
        <v>84864</v>
      </c>
      <c r="D44" s="72">
        <f t="shared" si="5"/>
        <v>89170</v>
      </c>
      <c r="E44" s="72">
        <f t="shared" si="5"/>
        <v>97753</v>
      </c>
      <c r="F44" s="72">
        <f t="shared" si="5"/>
        <v>105572</v>
      </c>
      <c r="G44" s="73">
        <f t="shared" si="5"/>
        <v>103549</v>
      </c>
    </row>
    <row r="45" spans="1:7" x14ac:dyDescent="0.35">
      <c r="A45" s="69" t="s">
        <v>131</v>
      </c>
      <c r="B45" s="74">
        <f t="shared" ref="B45:G45" si="6">B34+B35+B41</f>
        <v>45592</v>
      </c>
      <c r="C45" s="74">
        <f t="shared" si="6"/>
        <v>37154</v>
      </c>
      <c r="D45" s="74">
        <f t="shared" si="6"/>
        <v>37228</v>
      </c>
      <c r="E45" s="74">
        <f t="shared" si="6"/>
        <v>47494</v>
      </c>
      <c r="F45" s="74">
        <f t="shared" si="6"/>
        <v>55931</v>
      </c>
      <c r="G45" s="74">
        <f t="shared" si="6"/>
        <v>49648</v>
      </c>
    </row>
    <row r="46" spans="1:7" x14ac:dyDescent="0.35">
      <c r="A46" s="69" t="s">
        <v>132</v>
      </c>
      <c r="B46" s="74">
        <f t="shared" ref="B46:G46" si="7">B29-B30+B31</f>
        <v>77787</v>
      </c>
      <c r="C46" s="74">
        <f t="shared" si="7"/>
        <v>76499</v>
      </c>
      <c r="D46" s="74">
        <f t="shared" si="7"/>
        <v>78387</v>
      </c>
      <c r="E46" s="74">
        <f t="shared" si="7"/>
        <v>78434</v>
      </c>
      <c r="F46" s="74">
        <f t="shared" si="7"/>
        <v>78567</v>
      </c>
      <c r="G46" s="74">
        <f t="shared" si="7"/>
        <v>80533</v>
      </c>
    </row>
    <row r="47" spans="1:7" x14ac:dyDescent="0.35">
      <c r="A47" s="66" t="s">
        <v>133</v>
      </c>
      <c r="B47" s="75">
        <f t="shared" ref="B47:G47" si="8">B45+B46</f>
        <v>123379</v>
      </c>
      <c r="C47" s="75">
        <f t="shared" si="8"/>
        <v>113653</v>
      </c>
      <c r="D47" s="75">
        <f t="shared" si="8"/>
        <v>115615</v>
      </c>
      <c r="E47" s="75">
        <f t="shared" si="8"/>
        <v>125928</v>
      </c>
      <c r="F47" s="75">
        <f t="shared" si="8"/>
        <v>134498</v>
      </c>
      <c r="G47" s="75">
        <f t="shared" si="8"/>
        <v>130181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BC3D-0002-4E3D-8359-0F78A6C4EFD8}">
  <dimension ref="A1:G25"/>
  <sheetViews>
    <sheetView workbookViewId="0"/>
  </sheetViews>
  <sheetFormatPr defaultRowHeight="14.5" x14ac:dyDescent="0.35"/>
  <cols>
    <col min="1" max="1" width="41.26953125" customWidth="1"/>
    <col min="2" max="2" width="11.36328125" customWidth="1"/>
  </cols>
  <sheetData>
    <row r="1" spans="1:7" ht="26" x14ac:dyDescent="0.6">
      <c r="A1" s="62"/>
      <c r="B1" s="41"/>
      <c r="C1" s="63" t="s">
        <v>134</v>
      </c>
      <c r="D1" s="41"/>
      <c r="E1" s="41"/>
      <c r="F1" s="41"/>
      <c r="G1" s="42"/>
    </row>
    <row r="2" spans="1:7" x14ac:dyDescent="0.35">
      <c r="A2" s="76"/>
      <c r="B2" s="77">
        <v>43891</v>
      </c>
      <c r="C2" s="77">
        <v>44256</v>
      </c>
      <c r="D2" s="77">
        <v>44621</v>
      </c>
      <c r="E2" s="77">
        <v>44986</v>
      </c>
      <c r="F2" s="77">
        <v>45352</v>
      </c>
      <c r="G2" s="78">
        <v>45717</v>
      </c>
    </row>
    <row r="3" spans="1:7" x14ac:dyDescent="0.35">
      <c r="A3" s="4" t="s">
        <v>135</v>
      </c>
      <c r="B3" s="4">
        <v>-618</v>
      </c>
      <c r="C3" s="11">
        <v>23430</v>
      </c>
      <c r="D3" s="11">
        <v>30987</v>
      </c>
      <c r="E3" s="11">
        <v>-5290</v>
      </c>
      <c r="F3" s="11">
        <v>2911</v>
      </c>
      <c r="G3" s="11">
        <v>9914</v>
      </c>
    </row>
    <row r="4" spans="1:7" x14ac:dyDescent="0.35">
      <c r="A4" s="4" t="s">
        <v>80</v>
      </c>
      <c r="B4" s="68">
        <v>10037</v>
      </c>
      <c r="C4" s="68">
        <v>13392</v>
      </c>
      <c r="D4" s="68">
        <v>21594</v>
      </c>
      <c r="E4" s="68">
        <v>8863</v>
      </c>
      <c r="F4" s="11">
        <v>10664</v>
      </c>
      <c r="G4" s="11">
        <v>10986</v>
      </c>
    </row>
    <row r="5" spans="1:7" x14ac:dyDescent="0.35">
      <c r="A5" s="4" t="s">
        <v>81</v>
      </c>
      <c r="B5" s="11">
        <v>-4416</v>
      </c>
      <c r="C5" s="11">
        <v>1621</v>
      </c>
      <c r="D5" s="11">
        <v>3313</v>
      </c>
      <c r="E5" s="4">
        <v>-718</v>
      </c>
      <c r="F5" s="11">
        <v>-2999</v>
      </c>
      <c r="G5" s="4">
        <v>595</v>
      </c>
    </row>
    <row r="6" spans="1:7" x14ac:dyDescent="0.35">
      <c r="A6" s="4" t="s">
        <v>82</v>
      </c>
      <c r="B6" s="11">
        <v>-4511</v>
      </c>
      <c r="C6" s="11">
        <v>4122</v>
      </c>
      <c r="D6" s="11">
        <v>-4852</v>
      </c>
      <c r="E6" s="11">
        <v>-8435</v>
      </c>
      <c r="F6" s="11">
        <v>-5039</v>
      </c>
      <c r="G6" s="11">
        <v>3488</v>
      </c>
    </row>
    <row r="7" spans="1:7" x14ac:dyDescent="0.35">
      <c r="A7" s="4" t="s">
        <v>83</v>
      </c>
      <c r="B7" s="4">
        <v>-899</v>
      </c>
      <c r="C7" s="11">
        <v>1714</v>
      </c>
      <c r="D7" s="11">
        <v>8878</v>
      </c>
      <c r="E7" s="11">
        <v>-2335</v>
      </c>
      <c r="F7" s="4">
        <v>993</v>
      </c>
      <c r="G7" s="11">
        <v>-4829</v>
      </c>
    </row>
    <row r="8" spans="1:7" x14ac:dyDescent="0.35">
      <c r="A8" s="4" t="s">
        <v>85</v>
      </c>
      <c r="B8" s="4">
        <v>-734</v>
      </c>
      <c r="C8" s="11">
        <v>2609</v>
      </c>
      <c r="D8" s="11">
        <v>2146</v>
      </c>
      <c r="E8" s="11">
        <v>-2244</v>
      </c>
      <c r="F8" s="4">
        <v>-605</v>
      </c>
      <c r="G8" s="4">
        <v>318</v>
      </c>
    </row>
    <row r="9" spans="1:7" x14ac:dyDescent="0.35">
      <c r="A9" s="4" t="s">
        <v>86</v>
      </c>
      <c r="B9" s="11">
        <v>-10561</v>
      </c>
      <c r="C9" s="11">
        <v>10064</v>
      </c>
      <c r="D9" s="11">
        <v>9484</v>
      </c>
      <c r="E9" s="11">
        <v>-13732</v>
      </c>
      <c r="F9" s="11">
        <v>-7650</v>
      </c>
      <c r="G9" s="4">
        <v>-428</v>
      </c>
    </row>
    <row r="10" spans="1:7" x14ac:dyDescent="0.35">
      <c r="A10" s="4" t="s">
        <v>87</v>
      </c>
      <c r="B10" s="4">
        <v>-94</v>
      </c>
      <c r="C10" s="4">
        <v>-26</v>
      </c>
      <c r="D10" s="4">
        <v>-92</v>
      </c>
      <c r="E10" s="4">
        <v>-421</v>
      </c>
      <c r="F10" s="4">
        <v>-104</v>
      </c>
      <c r="G10" s="4">
        <v>-644</v>
      </c>
    </row>
    <row r="11" spans="1:7" x14ac:dyDescent="0.35">
      <c r="A11" s="4" t="s">
        <v>136</v>
      </c>
      <c r="B11" s="11">
        <v>-4261</v>
      </c>
      <c r="C11" s="11">
        <v>-3295</v>
      </c>
      <c r="D11" s="11">
        <v>-3976</v>
      </c>
      <c r="E11" s="11">
        <v>-3371</v>
      </c>
      <c r="F11" s="11">
        <v>-4261</v>
      </c>
      <c r="G11" s="11">
        <v>-5268</v>
      </c>
    </row>
    <row r="12" spans="1:7" x14ac:dyDescent="0.35">
      <c r="A12" s="4" t="s">
        <v>89</v>
      </c>
      <c r="B12" s="11">
        <v>-4754</v>
      </c>
      <c r="C12" s="11">
        <v>-3555</v>
      </c>
      <c r="D12" s="11">
        <v>-3665</v>
      </c>
      <c r="E12" s="11">
        <v>-3922</v>
      </c>
      <c r="F12" s="11">
        <v>-4711</v>
      </c>
      <c r="G12" s="11">
        <v>-6221</v>
      </c>
    </row>
    <row r="13" spans="1:7" x14ac:dyDescent="0.35">
      <c r="A13" s="4" t="s">
        <v>91</v>
      </c>
      <c r="B13" s="4">
        <v>373</v>
      </c>
      <c r="C13" s="4">
        <v>143</v>
      </c>
      <c r="D13" s="4">
        <v>236</v>
      </c>
      <c r="E13" s="4">
        <v>400</v>
      </c>
      <c r="F13" s="4">
        <v>503</v>
      </c>
      <c r="G13" s="4">
        <v>844</v>
      </c>
    </row>
    <row r="14" spans="1:7" x14ac:dyDescent="0.35">
      <c r="A14" s="4" t="s">
        <v>92</v>
      </c>
      <c r="B14" s="4">
        <v>0</v>
      </c>
      <c r="C14" s="4">
        <v>0</v>
      </c>
      <c r="D14" s="4">
        <v>-5</v>
      </c>
      <c r="E14" s="4">
        <v>0</v>
      </c>
      <c r="F14" s="4">
        <v>0</v>
      </c>
      <c r="G14" s="4">
        <v>-3</v>
      </c>
    </row>
    <row r="15" spans="1:7" x14ac:dyDescent="0.35">
      <c r="A15" s="4" t="s">
        <v>93</v>
      </c>
      <c r="B15" s="4">
        <v>7</v>
      </c>
      <c r="C15" s="4">
        <v>8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35">
      <c r="A16" s="4" t="s">
        <v>94</v>
      </c>
      <c r="B16" s="4">
        <v>143</v>
      </c>
      <c r="C16" s="4">
        <v>129</v>
      </c>
      <c r="D16" s="4">
        <v>196</v>
      </c>
      <c r="E16" s="4">
        <v>202</v>
      </c>
      <c r="F16" s="4">
        <v>196</v>
      </c>
      <c r="G16" s="4">
        <v>177</v>
      </c>
    </row>
    <row r="17" spans="1:7" x14ac:dyDescent="0.35">
      <c r="A17" s="4" t="s">
        <v>137</v>
      </c>
      <c r="B17" s="4">
        <v>3</v>
      </c>
      <c r="C17" s="4">
        <v>3</v>
      </c>
      <c r="D17" s="4">
        <v>0</v>
      </c>
      <c r="E17" s="4">
        <v>5</v>
      </c>
      <c r="F17" s="4">
        <v>6</v>
      </c>
      <c r="G17" s="4">
        <v>7</v>
      </c>
    </row>
    <row r="18" spans="1:7" x14ac:dyDescent="0.35">
      <c r="A18" s="4" t="s">
        <v>97</v>
      </c>
      <c r="B18" s="4">
        <v>-32</v>
      </c>
      <c r="C18" s="4">
        <v>-24</v>
      </c>
      <c r="D18" s="4">
        <v>-738</v>
      </c>
      <c r="E18" s="4">
        <v>-56</v>
      </c>
      <c r="F18" s="4">
        <v>-255</v>
      </c>
      <c r="G18" s="4">
        <v>-72</v>
      </c>
    </row>
    <row r="19" spans="1:7" x14ac:dyDescent="0.35">
      <c r="A19" s="4" t="s">
        <v>138</v>
      </c>
      <c r="B19" s="11">
        <v>5003</v>
      </c>
      <c r="C19" s="11">
        <v>-19808</v>
      </c>
      <c r="D19" s="11">
        <v>-27398</v>
      </c>
      <c r="E19" s="11">
        <v>8587</v>
      </c>
      <c r="F19" s="11">
        <v>1362</v>
      </c>
      <c r="G19" s="11">
        <v>-4424</v>
      </c>
    </row>
    <row r="20" spans="1:7" x14ac:dyDescent="0.35">
      <c r="A20" s="4" t="s">
        <v>100</v>
      </c>
      <c r="B20" s="11">
        <v>8907</v>
      </c>
      <c r="C20" s="4">
        <v>0</v>
      </c>
      <c r="D20" s="4">
        <v>0</v>
      </c>
      <c r="E20" s="11">
        <v>14299</v>
      </c>
      <c r="F20" s="11">
        <v>7434</v>
      </c>
      <c r="G20" s="11">
        <v>1250</v>
      </c>
    </row>
    <row r="21" spans="1:7" x14ac:dyDescent="0.35">
      <c r="A21" s="4" t="s">
        <v>101</v>
      </c>
      <c r="B21" s="4">
        <v>0</v>
      </c>
      <c r="C21" s="11">
        <v>-16335</v>
      </c>
      <c r="D21" s="11">
        <v>-22222</v>
      </c>
      <c r="E21" s="11">
        <v>-2023</v>
      </c>
      <c r="F21" s="11">
        <v>-2495</v>
      </c>
      <c r="G21" s="11">
        <v>-2040</v>
      </c>
    </row>
    <row r="22" spans="1:7" x14ac:dyDescent="0.35">
      <c r="A22" s="4" t="s">
        <v>102</v>
      </c>
      <c r="B22" s="11">
        <v>-3654</v>
      </c>
      <c r="C22" s="11">
        <v>-2944</v>
      </c>
      <c r="D22" s="11">
        <v>-1922</v>
      </c>
      <c r="E22" s="11">
        <v>-2080</v>
      </c>
      <c r="F22" s="11">
        <v>-2157</v>
      </c>
      <c r="G22" s="11">
        <v>-2398</v>
      </c>
    </row>
    <row r="23" spans="1:7" x14ac:dyDescent="0.35">
      <c r="A23" s="4" t="s">
        <v>103</v>
      </c>
      <c r="B23" s="4">
        <v>-250</v>
      </c>
      <c r="C23" s="4">
        <v>-413</v>
      </c>
      <c r="D23" s="11">
        <v>-3067</v>
      </c>
      <c r="E23" s="11">
        <v>-1342</v>
      </c>
      <c r="F23" s="4">
        <v>-620</v>
      </c>
      <c r="G23" s="4">
        <v>-413</v>
      </c>
    </row>
    <row r="24" spans="1:7" x14ac:dyDescent="0.35">
      <c r="A24" s="4" t="s">
        <v>104</v>
      </c>
      <c r="B24" s="68">
        <v>0</v>
      </c>
      <c r="C24" s="68">
        <v>-115</v>
      </c>
      <c r="D24" s="68">
        <v>-186</v>
      </c>
      <c r="E24" s="68">
        <v>-267</v>
      </c>
      <c r="F24" s="4">
        <v>-801</v>
      </c>
      <c r="G24" s="4">
        <v>-822</v>
      </c>
    </row>
    <row r="25" spans="1:7" x14ac:dyDescent="0.35">
      <c r="A25" s="79" t="s">
        <v>106</v>
      </c>
      <c r="B25" s="79">
        <v>125</v>
      </c>
      <c r="C25" s="79">
        <v>328</v>
      </c>
      <c r="D25" s="79">
        <v>-387</v>
      </c>
      <c r="E25" s="79">
        <v>-74</v>
      </c>
      <c r="F25" s="79">
        <v>12</v>
      </c>
      <c r="G25" s="79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INTERPRETATIONS</vt:lpstr>
      <vt:lpstr>DASHBOARD</vt:lpstr>
      <vt:lpstr>PROFIT AND LOSS</vt:lpstr>
      <vt:lpstr>BAL. SHEET APPOLO</vt:lpstr>
      <vt:lpstr>CASH FLOW APPOLO</vt:lpstr>
      <vt:lpstr>PROFIT AND LOSS </vt:lpstr>
      <vt:lpstr>BALANCE SHEET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2025-11-09T10:42:05Z</dcterms:created>
  <dcterms:modified xsi:type="dcterms:W3CDTF">2025-11-14T19:58:48Z</dcterms:modified>
</cp:coreProperties>
</file>