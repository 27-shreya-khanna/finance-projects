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FD666D2E-39C0-41CE-985D-CDDF68B2DC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tro_Zomato" sheetId="1" r:id="rId1"/>
    <sheet name="Costs_Analysis" sheetId="2" r:id="rId2"/>
    <sheet name="Options_Con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D3" i="3"/>
  <c r="C12" i="2"/>
  <c r="C2" i="3" s="1"/>
  <c r="C17" i="2"/>
  <c r="D2" i="3" l="1"/>
  <c r="F2" i="3" s="1"/>
  <c r="B10" i="3" s="1"/>
  <c r="C3" i="3"/>
  <c r="F3" i="3" s="1"/>
  <c r="B11" i="3" s="1"/>
  <c r="C16" i="2"/>
  <c r="C24" i="2" l="1"/>
  <c r="C19" i="2"/>
  <c r="C21" i="2" s="1"/>
  <c r="B7" i="3" s="1"/>
</calcChain>
</file>

<file path=xl/sharedStrings.xml><?xml version="1.0" encoding="utf-8"?>
<sst xmlns="http://schemas.openxmlformats.org/spreadsheetml/2006/main" count="64" uniqueCount="50">
  <si>
    <t>Heading</t>
  </si>
  <si>
    <t>Details</t>
  </si>
  <si>
    <t>Case Study: Zomato – Supply Chain / Delivery Cost Control</t>
  </si>
  <si>
    <t>What does Zomato do?</t>
  </si>
  <si>
    <t>Zomato is a food delivery platform. It connects customers, restaurants and delivery partners through a mobile app.</t>
  </si>
  <si>
    <t>Supply chain / logistics issue</t>
  </si>
  <si>
    <t>Zomato is facing high delivery costs. Payments to delivery partners, fuel charges and packaging costs are increasing. The company wants to control these costs and still deliver food on time.</t>
  </si>
  <si>
    <t>Why is this important?</t>
  </si>
  <si>
    <t>Delivery cost is a major part of Zomato’s total cost. If these costs are not controlled, profits go down even if the number of orders is high.</t>
  </si>
  <si>
    <t>Link with current issues</t>
  </si>
  <si>
    <t>• Fuel prices are increasing (inflation).
• Traffic and longer distances increase time and cost per order.
• Customers expect fast and cheap delivery.
• Zomato can use data and AI to plan routes and assign riders to reduce cost.</t>
  </si>
  <si>
    <t>Cost Type</t>
  </si>
  <si>
    <t>Cost Item</t>
  </si>
  <si>
    <t>Amount</t>
  </si>
  <si>
    <t>Unit</t>
  </si>
  <si>
    <t>Fixed</t>
  </si>
  <si>
    <t>Office &amp; hub rent</t>
  </si>
  <si>
    <t>per month</t>
  </si>
  <si>
    <t>Salaries (managers, support)</t>
  </si>
  <si>
    <t>App &amp; server cost</t>
  </si>
  <si>
    <t>Variable</t>
  </si>
  <si>
    <t>Delivery partner payment</t>
  </si>
  <si>
    <t>per order</t>
  </si>
  <si>
    <t>Packaging support</t>
  </si>
  <si>
    <t>Payment gateway fee</t>
  </si>
  <si>
    <t>Fuel / distance cost</t>
  </si>
  <si>
    <t>Total fixed cost per month</t>
  </si>
  <si>
    <t>Variable cost per order</t>
  </si>
  <si>
    <t>Average revenue per order (commission + delivery fee)</t>
  </si>
  <si>
    <t>Fixed cost per month</t>
  </si>
  <si>
    <t>Contribution per order</t>
  </si>
  <si>
    <t>Break-even number of orders</t>
  </si>
  <si>
    <t>Expected orders per month</t>
  </si>
  <si>
    <t>Profit per month</t>
  </si>
  <si>
    <t>Option</t>
  </si>
  <si>
    <t>Revenue per order</t>
  </si>
  <si>
    <t>Expected orders</t>
  </si>
  <si>
    <t>Option 1 – Normal fee</t>
  </si>
  <si>
    <t>Option 2 – Discounted fee</t>
  </si>
  <si>
    <t>Managerial Interpretation</t>
  </si>
  <si>
    <t xml:space="preserve">• From sheet 'Costs_Analysis', Zomato breaks even at about: </t>
  </si>
  <si>
    <t>Comparison of Options</t>
  </si>
  <si>
    <t>• Profit in Option 1 (normal fee):</t>
  </si>
  <si>
    <t>• Profit in Option 2 (discount):</t>
  </si>
  <si>
    <t>• Choose the option with higher profit.</t>
  </si>
  <si>
    <t>Managerial suggestions</t>
  </si>
  <si>
    <t>• Try to reduce variable cost per order by optimising routes and saving fuel.</t>
  </si>
  <si>
    <t>• Use data/AI to assign nearest riders to reduce distance and time.</t>
  </si>
  <si>
    <t>• Control fixed costs like office rent by using shared spaces or smaller hubs.</t>
  </si>
  <si>
    <t>• Review delivery fee policy regularly to balance customer attraction and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</si>
</sst>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4" sqref="A4"/>
    </sheetView>
  </sheetViews>
  <sheetFormatPr defaultRowHeight="14.5" x14ac:dyDescent="0.35"/>
  <cols>
    <col min="1" max="1" width="50.08984375" customWidth="1"/>
    <col min="2" max="2" width="168.08984375" customWidth="1"/>
    <col min="3" max="3" width="16.81640625" customWidth="1"/>
  </cols>
  <sheetData>
    <row r="1" spans="1:2" ht="18.5" x14ac:dyDescent="0.45">
      <c r="A1" s="1" t="s">
        <v>0</v>
      </c>
      <c r="B1" s="1" t="s">
        <v>1</v>
      </c>
    </row>
    <row r="2" spans="1:2" ht="18.5" x14ac:dyDescent="0.45">
      <c r="A2" s="2" t="s">
        <v>2</v>
      </c>
      <c r="B2" s="2"/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B5" sqref="B5"/>
    </sheetView>
  </sheetViews>
  <sheetFormatPr defaultRowHeight="14.5" x14ac:dyDescent="0.35"/>
  <cols>
    <col min="1" max="1" width="50.54296875" customWidth="1"/>
    <col min="2" max="4" width="30" customWidth="1"/>
  </cols>
  <sheetData>
    <row r="1" spans="1:4" ht="18.5" x14ac:dyDescent="0.4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35">
      <c r="A2" t="s">
        <v>15</v>
      </c>
      <c r="B2" t="s">
        <v>16</v>
      </c>
      <c r="C2">
        <v>120000</v>
      </c>
      <c r="D2" t="s">
        <v>17</v>
      </c>
    </row>
    <row r="3" spans="1:4" x14ac:dyDescent="0.35">
      <c r="A3" t="s">
        <v>15</v>
      </c>
      <c r="B3" t="s">
        <v>18</v>
      </c>
      <c r="C3">
        <v>150000</v>
      </c>
      <c r="D3" t="s">
        <v>17</v>
      </c>
    </row>
    <row r="4" spans="1:4" x14ac:dyDescent="0.35">
      <c r="A4" t="s">
        <v>15</v>
      </c>
      <c r="B4" t="s">
        <v>19</v>
      </c>
      <c r="C4">
        <v>30000</v>
      </c>
      <c r="D4" t="s">
        <v>17</v>
      </c>
    </row>
    <row r="6" spans="1:4" x14ac:dyDescent="0.35">
      <c r="A6" t="s">
        <v>20</v>
      </c>
      <c r="B6" t="s">
        <v>21</v>
      </c>
      <c r="C6">
        <v>35</v>
      </c>
      <c r="D6" t="s">
        <v>22</v>
      </c>
    </row>
    <row r="7" spans="1:4" x14ac:dyDescent="0.35">
      <c r="A7" t="s">
        <v>20</v>
      </c>
      <c r="B7" t="s">
        <v>23</v>
      </c>
      <c r="C7">
        <v>5</v>
      </c>
      <c r="D7" t="s">
        <v>22</v>
      </c>
    </row>
    <row r="8" spans="1:4" x14ac:dyDescent="0.35">
      <c r="A8" t="s">
        <v>20</v>
      </c>
      <c r="B8" t="s">
        <v>24</v>
      </c>
      <c r="C8">
        <v>3</v>
      </c>
      <c r="D8" t="s">
        <v>22</v>
      </c>
    </row>
    <row r="9" spans="1:4" x14ac:dyDescent="0.35">
      <c r="A9" t="s">
        <v>20</v>
      </c>
      <c r="B9" t="s">
        <v>25</v>
      </c>
      <c r="C9">
        <v>2</v>
      </c>
      <c r="D9" t="s">
        <v>22</v>
      </c>
    </row>
    <row r="11" spans="1:4" x14ac:dyDescent="0.35">
      <c r="B11" t="s">
        <v>26</v>
      </c>
      <c r="C11">
        <f>C2+C3+C4</f>
        <v>300000</v>
      </c>
    </row>
    <row r="12" spans="1:4" x14ac:dyDescent="0.35">
      <c r="B12" t="s">
        <v>27</v>
      </c>
      <c r="C12">
        <f>C6+C7+C8+C9</f>
        <v>45</v>
      </c>
    </row>
    <row r="15" spans="1:4" x14ac:dyDescent="0.35">
      <c r="A15" t="s">
        <v>28</v>
      </c>
      <c r="C15">
        <v>60</v>
      </c>
    </row>
    <row r="16" spans="1:4" x14ac:dyDescent="0.35">
      <c r="A16" t="s">
        <v>27</v>
      </c>
      <c r="C16">
        <f>C12</f>
        <v>45</v>
      </c>
    </row>
    <row r="17" spans="1:3" x14ac:dyDescent="0.35">
      <c r="A17" t="s">
        <v>29</v>
      </c>
      <c r="C17">
        <f>C11</f>
        <v>300000</v>
      </c>
    </row>
    <row r="19" spans="1:3" x14ac:dyDescent="0.35">
      <c r="A19" t="s">
        <v>30</v>
      </c>
      <c r="C19">
        <f>C15-C16</f>
        <v>15</v>
      </c>
    </row>
    <row r="21" spans="1:3" x14ac:dyDescent="0.35">
      <c r="A21" t="s">
        <v>31</v>
      </c>
      <c r="C21">
        <f>C17/C19</f>
        <v>20000</v>
      </c>
    </row>
    <row r="23" spans="1:3" x14ac:dyDescent="0.35">
      <c r="A23" t="s">
        <v>32</v>
      </c>
      <c r="C23">
        <v>15000</v>
      </c>
    </row>
    <row r="24" spans="1:3" x14ac:dyDescent="0.35">
      <c r="A24" t="s">
        <v>33</v>
      </c>
      <c r="C24">
        <f>(C15*C23)-(C16*C23)-C17</f>
        <v>-75000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opLeftCell="C1" workbookViewId="0">
      <selection activeCell="F3" sqref="F3"/>
    </sheetView>
  </sheetViews>
  <sheetFormatPr defaultRowHeight="14.5" x14ac:dyDescent="0.35"/>
  <cols>
    <col min="1" max="6" width="35" customWidth="1"/>
  </cols>
  <sheetData>
    <row r="1" spans="1:6" x14ac:dyDescent="0.35">
      <c r="A1" t="s">
        <v>34</v>
      </c>
      <c r="B1" t="s">
        <v>35</v>
      </c>
      <c r="C1" t="s">
        <v>27</v>
      </c>
      <c r="D1" t="s">
        <v>29</v>
      </c>
      <c r="E1" t="s">
        <v>36</v>
      </c>
      <c r="F1" t="s">
        <v>33</v>
      </c>
    </row>
    <row r="2" spans="1:6" x14ac:dyDescent="0.35">
      <c r="A2" t="s">
        <v>37</v>
      </c>
      <c r="B2">
        <v>60</v>
      </c>
      <c r="C2">
        <f>Costs_Analysis!C12</f>
        <v>45</v>
      </c>
      <c r="D2">
        <f>Costs_Analysis!C11</f>
        <v>300000</v>
      </c>
      <c r="E2">
        <v>15000</v>
      </c>
      <c r="F2">
        <f>(B2*E2)-(C2*E2)-D2</f>
        <v>-75000</v>
      </c>
    </row>
    <row r="3" spans="1:6" x14ac:dyDescent="0.35">
      <c r="A3" t="s">
        <v>38</v>
      </c>
      <c r="B3">
        <v>55</v>
      </c>
      <c r="C3">
        <f>Costs_Analysis!C12</f>
        <v>45</v>
      </c>
      <c r="D3">
        <f>Costs_Analysis!C11</f>
        <v>300000</v>
      </c>
      <c r="E3">
        <v>18000</v>
      </c>
      <c r="F3">
        <f>(B3*E3)-(C3*E3)-D3</f>
        <v>-120000</v>
      </c>
    </row>
    <row r="6" spans="1:6" x14ac:dyDescent="0.35">
      <c r="A6" t="s">
        <v>39</v>
      </c>
    </row>
    <row r="7" spans="1:6" x14ac:dyDescent="0.35">
      <c r="A7" t="s">
        <v>40</v>
      </c>
      <c r="B7">
        <f>Costs_Analysis!C21</f>
        <v>20000</v>
      </c>
    </row>
    <row r="9" spans="1:6" x14ac:dyDescent="0.35">
      <c r="A9" t="s">
        <v>41</v>
      </c>
    </row>
    <row r="10" spans="1:6" x14ac:dyDescent="0.35">
      <c r="A10" t="s">
        <v>42</v>
      </c>
      <c r="B10">
        <f>F2</f>
        <v>-75000</v>
      </c>
    </row>
    <row r="11" spans="1:6" x14ac:dyDescent="0.35">
      <c r="A11" t="s">
        <v>43</v>
      </c>
      <c r="B11">
        <f>F3</f>
        <v>-120000</v>
      </c>
    </row>
    <row r="12" spans="1:6" x14ac:dyDescent="0.35">
      <c r="A12" t="s">
        <v>44</v>
      </c>
    </row>
    <row r="14" spans="1:6" x14ac:dyDescent="0.35">
      <c r="A14" t="s">
        <v>45</v>
      </c>
    </row>
    <row r="15" spans="1:6" x14ac:dyDescent="0.35">
      <c r="A15" t="s">
        <v>46</v>
      </c>
    </row>
    <row r="16" spans="1:6" x14ac:dyDescent="0.35">
      <c r="A16" t="s">
        <v>47</v>
      </c>
    </row>
    <row r="17" spans="1:1" x14ac:dyDescent="0.35">
      <c r="A17" t="s">
        <v>48</v>
      </c>
    </row>
    <row r="18" spans="1:1" x14ac:dyDescent="0.35">
      <c r="A1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Intro_Zomato</vt:lpstr>
      <vt:lpstr>Costs_Analysis</vt:lpstr>
      <vt:lpstr>Options_Conclusion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2025-11-20T14:35:31Z</dcterms:created>
  <dcterms:modified xsi:type="dcterms:W3CDTF">2025-11-20T14:47:19Z</dcterms:modified>
</cp:coreProperties>
</file>