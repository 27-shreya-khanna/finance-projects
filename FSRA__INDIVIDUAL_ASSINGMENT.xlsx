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103447F-D187-4E8E-BA1A-0EDF2C9D7B39}" xr6:coauthVersionLast="47" xr6:coauthVersionMax="47" xr10:uidLastSave="{00000000-0000-0000-0000-000000000000}"/>
  <bookViews>
    <workbookView xWindow="-110" yWindow="-110" windowWidth="19420" windowHeight="10300" activeTab="3" xr2:uid="{C81D7F8D-D6E5-4FB3-86EF-02BC1FC2AB59}"/>
  </bookViews>
  <sheets>
    <sheet name="Finance" sheetId="1" r:id="rId1"/>
    <sheet name="CHARTS" sheetId="4" r:id="rId2"/>
    <sheet name="DUPONT" sheetId="2" r:id="rId3"/>
    <sheet name="DASH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0" i="1" l="1"/>
  <c r="Q200" i="1"/>
  <c r="R200" i="1"/>
  <c r="S200" i="1"/>
  <c r="T200" i="1"/>
  <c r="U200" i="1"/>
  <c r="V200" i="1"/>
  <c r="W200" i="1"/>
  <c r="X200" i="1"/>
  <c r="O200" i="1"/>
  <c r="P157" i="1"/>
  <c r="Q157" i="1"/>
  <c r="R157" i="1"/>
  <c r="S157" i="1"/>
  <c r="T157" i="1"/>
  <c r="U157" i="1"/>
  <c r="V157" i="1"/>
  <c r="W157" i="1"/>
  <c r="X157" i="1"/>
  <c r="O157" i="1"/>
  <c r="P103" i="1"/>
  <c r="Q103" i="1"/>
  <c r="R103" i="1"/>
  <c r="S103" i="1"/>
  <c r="T103" i="1"/>
  <c r="U103" i="1"/>
  <c r="V103" i="1"/>
  <c r="W103" i="1"/>
  <c r="X103" i="1"/>
  <c r="O103" i="1"/>
  <c r="J4" i="2"/>
  <c r="J3" i="2"/>
  <c r="K5" i="2"/>
  <c r="J6" i="2"/>
  <c r="I5" i="2"/>
  <c r="L4" i="2"/>
  <c r="M3" i="2"/>
  <c r="K3" i="2"/>
  <c r="I2" i="2"/>
  <c r="L2" i="2"/>
  <c r="P40" i="1"/>
  <c r="Q40" i="1"/>
  <c r="R40" i="1"/>
  <c r="S40" i="1"/>
  <c r="T40" i="1"/>
  <c r="U40" i="1"/>
  <c r="V40" i="1"/>
  <c r="W40" i="1"/>
  <c r="X40" i="1"/>
  <c r="O40" i="1"/>
  <c r="Q21" i="2"/>
  <c r="O21" i="2"/>
  <c r="M21" i="2"/>
  <c r="L21" i="2"/>
  <c r="K21" i="2"/>
  <c r="J21" i="2"/>
  <c r="I21" i="2"/>
  <c r="Q20" i="2"/>
  <c r="O20" i="2"/>
  <c r="M20" i="2"/>
  <c r="L20" i="2"/>
  <c r="K20" i="2"/>
  <c r="J20" i="2"/>
  <c r="I20" i="2"/>
  <c r="Q19" i="2"/>
  <c r="O19" i="2"/>
  <c r="M19" i="2"/>
  <c r="L19" i="2"/>
  <c r="K19" i="2"/>
  <c r="J19" i="2"/>
  <c r="I19" i="2"/>
  <c r="Q18" i="2"/>
  <c r="O18" i="2"/>
  <c r="M18" i="2"/>
  <c r="L18" i="2"/>
  <c r="K18" i="2"/>
  <c r="J18" i="2"/>
  <c r="I18" i="2"/>
  <c r="Q17" i="2"/>
  <c r="O17" i="2"/>
  <c r="M17" i="2"/>
  <c r="L17" i="2"/>
  <c r="K17" i="2"/>
  <c r="J17" i="2"/>
  <c r="I17" i="2"/>
  <c r="Q16" i="2"/>
  <c r="O16" i="2"/>
  <c r="M16" i="2"/>
  <c r="L16" i="2"/>
  <c r="K16" i="2"/>
  <c r="J16" i="2"/>
  <c r="I16" i="2"/>
  <c r="Q15" i="2"/>
  <c r="O15" i="2"/>
  <c r="M15" i="2"/>
  <c r="L15" i="2"/>
  <c r="K15" i="2"/>
  <c r="J15" i="2"/>
  <c r="I15" i="2"/>
  <c r="Q14" i="2"/>
  <c r="O14" i="2"/>
  <c r="M14" i="2"/>
  <c r="L14" i="2"/>
  <c r="K14" i="2"/>
  <c r="J14" i="2"/>
  <c r="I14" i="2"/>
  <c r="Q13" i="2"/>
  <c r="O13" i="2"/>
  <c r="M13" i="2"/>
  <c r="L13" i="2"/>
  <c r="K13" i="2"/>
  <c r="J13" i="2"/>
  <c r="I13" i="2"/>
  <c r="Q12" i="2"/>
  <c r="O12" i="2"/>
  <c r="M12" i="2"/>
  <c r="L12" i="2"/>
  <c r="K12" i="2"/>
  <c r="J12" i="2"/>
  <c r="I12" i="2"/>
  <c r="Q11" i="2"/>
  <c r="O11" i="2"/>
  <c r="M11" i="2"/>
  <c r="L11" i="2"/>
  <c r="K11" i="2"/>
  <c r="J11" i="2"/>
  <c r="I11" i="2"/>
  <c r="Q10" i="2"/>
  <c r="O10" i="2"/>
  <c r="M10" i="2"/>
  <c r="L10" i="2"/>
  <c r="K10" i="2"/>
  <c r="J10" i="2"/>
  <c r="I10" i="2"/>
  <c r="Q9" i="2"/>
  <c r="O9" i="2"/>
  <c r="M9" i="2"/>
  <c r="L9" i="2"/>
  <c r="K9" i="2"/>
  <c r="J9" i="2"/>
  <c r="I9" i="2"/>
  <c r="Q8" i="2"/>
  <c r="O8" i="2"/>
  <c r="M8" i="2"/>
  <c r="L8" i="2"/>
  <c r="K8" i="2"/>
  <c r="J8" i="2"/>
  <c r="I8" i="2"/>
  <c r="Q7" i="2"/>
  <c r="O7" i="2"/>
  <c r="M7" i="2"/>
  <c r="L7" i="2"/>
  <c r="K7" i="2"/>
  <c r="J7" i="2"/>
  <c r="I7" i="2"/>
  <c r="Q6" i="2"/>
  <c r="O6" i="2"/>
  <c r="M6" i="2"/>
  <c r="L6" i="2"/>
  <c r="K6" i="2"/>
  <c r="I6" i="2"/>
  <c r="Q5" i="2"/>
  <c r="M5" i="2"/>
  <c r="L5" i="2"/>
  <c r="O4" i="2"/>
  <c r="M4" i="2"/>
  <c r="I4" i="2"/>
  <c r="O3" i="2"/>
  <c r="L3" i="2"/>
  <c r="I3" i="2"/>
  <c r="Q2" i="2"/>
  <c r="O2" i="2"/>
  <c r="M2" i="2"/>
  <c r="K2" i="2"/>
  <c r="Q3" i="2" l="1"/>
  <c r="J2" i="2"/>
  <c r="Q4" i="2"/>
  <c r="O5" i="2"/>
  <c r="P5" i="2" s="1"/>
  <c r="K4" i="2"/>
  <c r="J5" i="2"/>
  <c r="N6" i="2"/>
  <c r="P8" i="2"/>
  <c r="N10" i="2"/>
  <c r="P12" i="2"/>
  <c r="N14" i="2"/>
  <c r="P16" i="2"/>
  <c r="N18" i="2"/>
  <c r="P20" i="2"/>
  <c r="P3" i="2"/>
  <c r="P7" i="2"/>
  <c r="P11" i="2"/>
  <c r="P15" i="2"/>
  <c r="P19" i="2"/>
  <c r="N9" i="2"/>
  <c r="N13" i="2"/>
  <c r="N17" i="2"/>
  <c r="N21" i="2"/>
  <c r="P2" i="2"/>
  <c r="N4" i="2"/>
  <c r="N8" i="2"/>
  <c r="P10" i="2"/>
  <c r="N12" i="2"/>
  <c r="P14" i="2"/>
  <c r="N16" i="2"/>
  <c r="P18" i="2"/>
  <c r="N20" i="2"/>
  <c r="N7" i="2"/>
  <c r="P9" i="2"/>
  <c r="N11" i="2"/>
  <c r="P13" i="2"/>
  <c r="N15" i="2"/>
  <c r="P17" i="2"/>
  <c r="N19" i="2"/>
  <c r="P21" i="2"/>
  <c r="N3" i="2"/>
  <c r="P4" i="2"/>
  <c r="N2" i="2"/>
  <c r="N5" i="2"/>
  <c r="P6" i="2"/>
</calcChain>
</file>

<file path=xl/sharedStrings.xml><?xml version="1.0" encoding="utf-8"?>
<sst xmlns="http://schemas.openxmlformats.org/spreadsheetml/2006/main" count="536" uniqueCount="155">
  <si>
    <t>Finance &gt;&gt;Balance Sheet (Standalone)&gt;&gt;JSW Steel Ltd(Curr. in )</t>
  </si>
  <si>
    <t>Year</t>
  </si>
  <si>
    <t>SOURCES OF FUNDS :</t>
  </si>
  <si>
    <t xml:space="preserve"> Share Capital </t>
  </si>
  <si>
    <t xml:space="preserve"> Reserves Total </t>
  </si>
  <si>
    <t>Total Shareholders Funds</t>
  </si>
  <si>
    <t xml:space="preserve"> Secured Loans </t>
  </si>
  <si>
    <t xml:space="preserve"> Unsecured Loans </t>
  </si>
  <si>
    <t>Total Debt</t>
  </si>
  <si>
    <t xml:space="preserve"> Other Liabilities </t>
  </si>
  <si>
    <t>Total Liabilities</t>
  </si>
  <si>
    <t>APPLICATION OF FUNDS :</t>
  </si>
  <si>
    <t xml:space="preserve"> Gross Block </t>
  </si>
  <si>
    <t xml:space="preserve"> Less : Accumulated Depreciation </t>
  </si>
  <si>
    <t>Less:Impairment of Assets</t>
  </si>
  <si>
    <t xml:space="preserve"> Net Block </t>
  </si>
  <si>
    <t xml:space="preserve"> Capital Work in Progress </t>
  </si>
  <si>
    <t xml:space="preserve"> Investments </t>
  </si>
  <si>
    <t>Current Assets, Loans &amp; Advances</t>
  </si>
  <si>
    <t xml:space="preserve"> Inventories </t>
  </si>
  <si>
    <t xml:space="preserve"> Sundry Debtors </t>
  </si>
  <si>
    <t xml:space="preserve"> Cash and Bank </t>
  </si>
  <si>
    <t xml:space="preserve"> Loans and Advances </t>
  </si>
  <si>
    <t>Total Current Assets</t>
  </si>
  <si>
    <t>Less : Current Liabilities and Provisions</t>
  </si>
  <si>
    <t xml:space="preserve"> Current Liabilities </t>
  </si>
  <si>
    <t xml:space="preserve"> Provisions </t>
  </si>
  <si>
    <t>Total Current Liabilities</t>
  </si>
  <si>
    <t>Net Current Assets</t>
  </si>
  <si>
    <t>Deferred Tax Assets</t>
  </si>
  <si>
    <t>Deferred Tax Liability</t>
  </si>
  <si>
    <t>Net Deferred Tax</t>
  </si>
  <si>
    <t xml:space="preserve"> Other Assets </t>
  </si>
  <si>
    <t>Total Assets</t>
  </si>
  <si>
    <t xml:space="preserve"> Contingent Liabilities </t>
  </si>
  <si>
    <t>Finance &gt;&gt;Profit &amp; Loss (Standalone)&gt;&gt;JSW Steel Ltd(Curr. in )</t>
  </si>
  <si>
    <t>INCOME :</t>
  </si>
  <si>
    <t xml:space="preserve"> Sales Turnover </t>
  </si>
  <si>
    <t>Excise Duty</t>
  </si>
  <si>
    <t>Net Sales</t>
  </si>
  <si>
    <t xml:space="preserve"> Other Income </t>
  </si>
  <si>
    <t xml:space="preserve"> Stock Adjustments </t>
  </si>
  <si>
    <t>Total Income</t>
  </si>
  <si>
    <t>EXPENDITURE :</t>
  </si>
  <si>
    <t xml:space="preserve"> Raw Materials </t>
  </si>
  <si>
    <t xml:space="preserve"> Power &amp; Fuel Cost </t>
  </si>
  <si>
    <t xml:space="preserve"> Employee Cost </t>
  </si>
  <si>
    <t xml:space="preserve"> Other Manufacturing Expenses </t>
  </si>
  <si>
    <t xml:space="preserve"> Selling and Administration Expenses </t>
  </si>
  <si>
    <t xml:space="preserve"> Miscellaneous Expenses </t>
  </si>
  <si>
    <t xml:space="preserve"> Less: Pre-operative Expenses Capitalised </t>
  </si>
  <si>
    <t>Total Expenditure</t>
  </si>
  <si>
    <t>Operating Profit</t>
  </si>
  <si>
    <t xml:space="preserve"> Interest </t>
  </si>
  <si>
    <t>Gross Profit</t>
  </si>
  <si>
    <t xml:space="preserve"> Depreciation </t>
  </si>
  <si>
    <t>Profit Before Tax</t>
  </si>
  <si>
    <t xml:space="preserve"> Tax </t>
  </si>
  <si>
    <t xml:space="preserve"> Deferred Tax </t>
  </si>
  <si>
    <t>Reported Net Profit</t>
  </si>
  <si>
    <t xml:space="preserve"> Extraordinary Items </t>
  </si>
  <si>
    <t>Adjusted Net Profit</t>
  </si>
  <si>
    <t xml:space="preserve"> Adjst. below Net Profit </t>
  </si>
  <si>
    <t>P &amp; L Balance brought forward</t>
  </si>
  <si>
    <t xml:space="preserve"> Appropriations </t>
  </si>
  <si>
    <t>P &amp; L Balance carried down</t>
  </si>
  <si>
    <t>Dividend</t>
  </si>
  <si>
    <t>Equity Dividend %</t>
  </si>
  <si>
    <t>Dividend Per Share(Rs)</t>
  </si>
  <si>
    <t>Earnings Per Share-Unit Curr</t>
  </si>
  <si>
    <t>Earnings Per Share(Adj)-Unit Curr</t>
  </si>
  <si>
    <t>Book Value-Unit Curr</t>
  </si>
  <si>
    <t>Book Value(Adj)-Unit Curr</t>
  </si>
  <si>
    <t>Dividend Per Share Adj.(Rs)</t>
  </si>
  <si>
    <t>Finance &gt;&gt;Cash Flow (Standalone)&gt;&gt;JSW Steel Ltd(Curr. Rs in )</t>
  </si>
  <si>
    <t>Cash Flow Summary</t>
  </si>
  <si>
    <t>Cash and Cash Equivalents at Beginning of the year</t>
  </si>
  <si>
    <t xml:space="preserve"> Net Cash from Operating Activities </t>
  </si>
  <si>
    <t>Net Profit before Tax &amp; Extraordinary Items</t>
  </si>
  <si>
    <t>Depreciation</t>
  </si>
  <si>
    <t>Interest (Net)</t>
  </si>
  <si>
    <t>Dividend Received</t>
  </si>
  <si>
    <t>P/L on Sales of Assets</t>
  </si>
  <si>
    <t>P/L on Sales of Invest</t>
  </si>
  <si>
    <t>Prov. &amp; W/O (Net)</t>
  </si>
  <si>
    <t>P/L in Forex</t>
  </si>
  <si>
    <t>Others</t>
  </si>
  <si>
    <t>Total Adjustments (PBT &amp; Extraordinary Items)</t>
  </si>
  <si>
    <t>Op. Profit before Working Capital Changes</t>
  </si>
  <si>
    <t>Trade &amp; 0th receivables</t>
  </si>
  <si>
    <t>Inventories</t>
  </si>
  <si>
    <t>Trade Payables</t>
  </si>
  <si>
    <t>Total (OP before Working Capital Changes)</t>
  </si>
  <si>
    <t>Cash Generated from/(used in) Operations</t>
  </si>
  <si>
    <t>Direct Taxes Paid</t>
  </si>
  <si>
    <t>Total-others</t>
  </si>
  <si>
    <t>Cash Flow before Extraordinary Items</t>
  </si>
  <si>
    <t xml:space="preserve"> Net Cash Used in Investing Activities </t>
  </si>
  <si>
    <t>Purchased of Fixed Assets</t>
  </si>
  <si>
    <t>Sale of Fixed Assets</t>
  </si>
  <si>
    <t>Purchase of Investments</t>
  </si>
  <si>
    <t>Sale of Investments</t>
  </si>
  <si>
    <t>Interest Received</t>
  </si>
  <si>
    <t>Invest.In Subsidiaires</t>
  </si>
  <si>
    <t>Investment in Group Cos</t>
  </si>
  <si>
    <t xml:space="preserve"> Net Cash Used in Financing Activities </t>
  </si>
  <si>
    <t>Proceeds from Issue of shares (incl share premium)</t>
  </si>
  <si>
    <t>Proceed from 0ther Long Term Borrowings</t>
  </si>
  <si>
    <t>Proceed from Short Tem Borrowings</t>
  </si>
  <si>
    <t>Proceed from Deposits</t>
  </si>
  <si>
    <t>On Redemption of Debenture</t>
  </si>
  <si>
    <t>Of the Long Tem Borrowings</t>
  </si>
  <si>
    <t>Of the short term Borrowings</t>
  </si>
  <si>
    <t>Of financial Liabilities</t>
  </si>
  <si>
    <t>Dividend Paid</t>
  </si>
  <si>
    <t>Interest Paid</t>
  </si>
  <si>
    <t>Net Inc/(Dec) in Cash and Cash Equivalent</t>
  </si>
  <si>
    <t>Cash and Cash Equivalents at End of the year</t>
  </si>
  <si>
    <t>BALANCE SHEET</t>
  </si>
  <si>
    <t>PROFIT AND LOSS</t>
  </si>
  <si>
    <t>CASH FLOW</t>
  </si>
  <si>
    <t>TATA STEEL LTD</t>
  </si>
  <si>
    <t>JSW STEEL</t>
  </si>
  <si>
    <t>SAIL</t>
  </si>
  <si>
    <t xml:space="preserve">JINDAL  STEEL </t>
  </si>
  <si>
    <t>Company</t>
  </si>
  <si>
    <t>Revenue</t>
  </si>
  <si>
    <t>EBIT</t>
  </si>
  <si>
    <t>EBT</t>
  </si>
  <si>
    <t>Net Profit</t>
  </si>
  <si>
    <t>Equity</t>
  </si>
  <si>
    <t>Tax Burden</t>
  </si>
  <si>
    <t>Interest Burden</t>
  </si>
  <si>
    <t>Operating Margin</t>
  </si>
  <si>
    <t>Asset Turnover</t>
  </si>
  <si>
    <t>Equity Multiplier</t>
  </si>
  <si>
    <t>ROE</t>
  </si>
  <si>
    <t>Net Profit Margin</t>
  </si>
  <si>
    <t>ROA</t>
  </si>
  <si>
    <t>Financial leverage</t>
  </si>
  <si>
    <t>TATA STEEL</t>
  </si>
  <si>
    <t>JSPL</t>
  </si>
  <si>
    <t>Row Labels</t>
  </si>
  <si>
    <t>(blank)</t>
  </si>
  <si>
    <t>Grand Total</t>
  </si>
  <si>
    <t>Average of ROA</t>
  </si>
  <si>
    <t>Average of ROE</t>
  </si>
  <si>
    <t>Sum of Operating Margin</t>
  </si>
  <si>
    <t>Sum of Asset Turnover</t>
  </si>
  <si>
    <t>Sum of Net Profit Margin</t>
  </si>
  <si>
    <t>Sum of Financial leverage</t>
  </si>
  <si>
    <t>(All)</t>
  </si>
  <si>
    <t>Sum of Tax Burden</t>
  </si>
  <si>
    <t>Sum of Interest Burden</t>
  </si>
  <si>
    <t>Sum of Equity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</si>
</sst>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6" tint="-0.249977111117893"/>
      <name val="Arial"/>
      <family val="2"/>
    </font>
    <font>
      <b/>
      <sz val="11"/>
      <color theme="6" tint="-0.249977111117893"/>
      <name val="Arial"/>
      <family val="2"/>
    </font>
    <font>
      <b/>
      <sz val="11"/>
      <color theme="6" tint="-0.249977111117893"/>
      <name val="Aptos Narrow"/>
      <family val="2"/>
      <scheme val="minor"/>
    </font>
    <font>
      <b/>
      <sz val="14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4" tint="-0.249977111117893"/>
      <name val="Aptos Narrow"/>
      <family val="2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/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4">
    <xf numFmtId="0" fontId="0" fillId="0" borderId="0" xfId="0"/>
    <xf numFmtId="4" fontId="0" fillId="0" borderId="0" xfId="0" applyNumberFormat="1"/>
    <xf numFmtId="0" fontId="18" fillId="0" borderId="10" xfId="0" applyFont="1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19" fillId="0" borderId="12" xfId="0" applyFont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19" fillId="0" borderId="11" xfId="0" applyFont="1" applyBorder="1" applyAlignment="1">
      <alignment vertical="top"/>
    </xf>
    <xf numFmtId="0" fontId="19" fillId="0" borderId="10" xfId="0" applyFont="1" applyBorder="1" applyAlignment="1">
      <alignment horizontal="center" vertical="top" wrapText="1"/>
    </xf>
    <xf numFmtId="4" fontId="18" fillId="0" borderId="10" xfId="0" applyNumberFormat="1" applyFont="1" applyBorder="1" applyAlignment="1">
      <alignment vertical="top" wrapText="1"/>
    </xf>
    <xf numFmtId="0" fontId="18" fillId="0" borderId="10" xfId="0" applyFont="1" applyBorder="1" applyAlignment="1">
      <alignment vertical="center" wrapText="1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0" fillId="0" borderId="0" xfId="0" applyAlignment="1">
      <alignment vertical="top"/>
    </xf>
    <xf numFmtId="0" fontId="19" fillId="0" borderId="11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4" fontId="21" fillId="0" borderId="10" xfId="0" applyNumberFormat="1" applyFont="1" applyBorder="1" applyAlignment="1">
      <alignment vertical="top" wrapText="1"/>
    </xf>
    <xf numFmtId="0" fontId="21" fillId="0" borderId="0" xfId="0" applyFont="1" applyAlignment="1">
      <alignment vertical="top"/>
    </xf>
    <xf numFmtId="0" fontId="19" fillId="0" borderId="12" xfId="0" applyFont="1" applyBorder="1" applyAlignment="1">
      <alignment vertical="top" wrapText="1"/>
    </xf>
    <xf numFmtId="0" fontId="0" fillId="0" borderId="0" xfId="0" applyAlignment="1">
      <alignment vertical="top" wrapText="1"/>
    </xf>
    <xf numFmtId="4" fontId="18" fillId="0" borderId="10" xfId="0" applyNumberFormat="1" applyFont="1" applyBorder="1" applyAlignment="1">
      <alignment vertical="center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22" fillId="0" borderId="12" xfId="0" applyFont="1" applyBorder="1" applyAlignment="1">
      <alignment vertical="top"/>
    </xf>
    <xf numFmtId="0" fontId="21" fillId="0" borderId="10" xfId="0" applyFont="1" applyBorder="1" applyAlignment="1">
      <alignment vertical="top" wrapText="1"/>
    </xf>
    <xf numFmtId="0" fontId="22" fillId="0" borderId="13" xfId="0" applyFont="1" applyBorder="1" applyAlignment="1">
      <alignment vertical="top"/>
    </xf>
    <xf numFmtId="0" fontId="0" fillId="0" borderId="10" xfId="0" applyBorder="1" applyAlignment="1">
      <alignment vertical="center" wrapText="1"/>
    </xf>
    <xf numFmtId="0" fontId="18" fillId="0" borderId="0" xfId="0" applyFont="1" applyAlignment="1">
      <alignment vertical="top" wrapText="1"/>
    </xf>
    <xf numFmtId="0" fontId="19" fillId="0" borderId="13" xfId="0" applyFont="1" applyBorder="1" applyAlignment="1">
      <alignment vertical="top" wrapText="1"/>
    </xf>
    <xf numFmtId="4" fontId="21" fillId="0" borderId="0" xfId="0" applyNumberFormat="1" applyFont="1" applyAlignment="1">
      <alignment vertical="top"/>
    </xf>
    <xf numFmtId="0" fontId="22" fillId="0" borderId="10" xfId="0" applyFont="1" applyBorder="1" applyAlignment="1">
      <alignment horizontal="center" vertical="top" wrapText="1"/>
    </xf>
    <xf numFmtId="4" fontId="18" fillId="0" borderId="0" xfId="0" applyNumberFormat="1" applyFont="1" applyAlignment="1">
      <alignment vertical="top" wrapText="1"/>
    </xf>
    <xf numFmtId="0" fontId="19" fillId="0" borderId="11" xfId="0" applyFont="1" applyBorder="1" applyAlignment="1">
      <alignment vertical="top" wrapText="1"/>
    </xf>
    <xf numFmtId="0" fontId="21" fillId="0" borderId="14" xfId="0" applyFont="1" applyBorder="1" applyAlignment="1">
      <alignment vertical="top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0" fillId="0" borderId="15" xfId="0" applyBorder="1"/>
    <xf numFmtId="4" fontId="0" fillId="0" borderId="15" xfId="0" applyNumberFormat="1" applyBorder="1"/>
    <xf numFmtId="0" fontId="23" fillId="34" borderId="16" xfId="0" applyFont="1" applyFill="1" applyBorder="1" applyAlignment="1">
      <alignment horizontal="left" vertical="center" wrapText="1"/>
    </xf>
    <xf numFmtId="0" fontId="23" fillId="34" borderId="17" xfId="0" applyFont="1" applyFill="1" applyBorder="1" applyAlignment="1">
      <alignment horizontal="left" vertical="center" wrapText="1"/>
    </xf>
    <xf numFmtId="0" fontId="23" fillId="34" borderId="18" xfId="0" applyFont="1" applyFill="1" applyBorder="1" applyAlignment="1">
      <alignment horizontal="left" vertical="center" wrapText="1"/>
    </xf>
    <xf numFmtId="0" fontId="23" fillId="34" borderId="15" xfId="0" applyFont="1" applyFill="1" applyBorder="1" applyAlignment="1">
      <alignment horizontal="left" vertical="center" wrapText="1"/>
    </xf>
    <xf numFmtId="0" fontId="23" fillId="34" borderId="15" xfId="0" applyFont="1" applyFill="1" applyBorder="1" applyAlignment="1">
      <alignment horizontal="left" vertical="top" wrapText="1"/>
    </xf>
    <xf numFmtId="0" fontId="23" fillId="34" borderId="15" xfId="0" applyFont="1" applyFill="1" applyBorder="1" applyAlignment="1">
      <alignment vertical="top" wrapText="1"/>
    </xf>
    <xf numFmtId="0" fontId="25" fillId="35" borderId="16" xfId="0" applyFont="1" applyFill="1" applyBorder="1" applyAlignment="1">
      <alignment horizontal="right" wrapText="1"/>
    </xf>
    <xf numFmtId="0" fontId="26" fillId="35" borderId="15" xfId="0" applyFont="1" applyFill="1" applyBorder="1"/>
    <xf numFmtId="0" fontId="0" fillId="35" borderId="15" xfId="0" applyFill="1" applyBorder="1" applyAlignment="1">
      <alignment vertical="center"/>
    </xf>
    <xf numFmtId="0" fontId="28" fillId="35" borderId="16" xfId="0" applyFont="1" applyFill="1" applyBorder="1" applyAlignment="1">
      <alignment horizontal="right" wrapText="1"/>
    </xf>
    <xf numFmtId="3" fontId="29" fillId="35" borderId="20" xfId="0" applyNumberFormat="1" applyFont="1" applyFill="1" applyBorder="1" applyAlignment="1">
      <alignment horizontal="right" vertical="top" wrapText="1"/>
    </xf>
    <xf numFmtId="3" fontId="29" fillId="35" borderId="16" xfId="0" applyNumberFormat="1" applyFont="1" applyFill="1" applyBorder="1" applyAlignment="1">
      <alignment horizontal="right" vertical="top" wrapText="1"/>
    </xf>
    <xf numFmtId="3" fontId="29" fillId="35" borderId="20" xfId="0" applyNumberFormat="1" applyFont="1" applyFill="1" applyBorder="1" applyAlignment="1">
      <alignment horizontal="right" wrapText="1"/>
    </xf>
    <xf numFmtId="3" fontId="29" fillId="35" borderId="18" xfId="0" applyNumberFormat="1" applyFont="1" applyFill="1" applyBorder="1" applyAlignment="1">
      <alignment horizontal="right" wrapText="1"/>
    </xf>
    <xf numFmtId="0" fontId="30" fillId="35" borderId="15" xfId="0" applyFont="1" applyFill="1" applyBorder="1"/>
    <xf numFmtId="0" fontId="31" fillId="35" borderId="15" xfId="0" applyFont="1" applyFill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vertical="top"/>
    </xf>
    <xf numFmtId="0" fontId="0" fillId="0" borderId="23" xfId="0" applyBorder="1"/>
    <xf numFmtId="0" fontId="18" fillId="35" borderId="10" xfId="0" applyFont="1" applyFill="1" applyBorder="1" applyAlignment="1">
      <alignment vertical="center" wrapText="1"/>
    </xf>
    <xf numFmtId="4" fontId="0" fillId="35" borderId="0" xfId="0" applyNumberFormat="1" applyFill="1" applyAlignment="1">
      <alignment vertical="center"/>
    </xf>
    <xf numFmtId="4" fontId="18" fillId="35" borderId="10" xfId="0" applyNumberFormat="1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4" fillId="35" borderId="19" xfId="0" applyFont="1" applyFill="1" applyBorder="1" applyAlignment="1">
      <alignment horizontal="center" vertical="center" wrapText="1"/>
    </xf>
    <xf numFmtId="0" fontId="24" fillId="35" borderId="21" xfId="0" applyFont="1" applyFill="1" applyBorder="1" applyAlignment="1">
      <alignment horizontal="center" vertical="center" wrapText="1"/>
    </xf>
    <xf numFmtId="0" fontId="24" fillId="35" borderId="22" xfId="0" applyFont="1" applyFill="1" applyBorder="1" applyAlignment="1">
      <alignment horizontal="center" vertical="center" wrapText="1"/>
    </xf>
    <xf numFmtId="0" fontId="27" fillId="35" borderId="19" xfId="0" applyFont="1" applyFill="1" applyBorder="1" applyAlignment="1">
      <alignment horizontal="center" vertical="center" wrapText="1"/>
    </xf>
    <xf numFmtId="0" fontId="27" fillId="35" borderId="21" xfId="0" applyFont="1" applyFill="1" applyBorder="1" applyAlignment="1">
      <alignment horizontal="center" vertical="center" wrapText="1"/>
    </xf>
    <xf numFmtId="0" fontId="27" fillId="35" borderId="22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[FSRA  INDIVIDUAL ASSINGMENT.xlsx]CHARTS!PivotTable64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55573883870081"/>
          <c:y val="0.23346909222554077"/>
          <c:w val="0.67285590937793982"/>
          <c:h val="0.66125368811657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Average of 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0.13027745126871157</c:v>
                </c:pt>
                <c:pt idx="1">
                  <c:v>8.2059855884394642E-2</c:v>
                </c:pt>
                <c:pt idx="2">
                  <c:v>0.22292669849876584</c:v>
                </c:pt>
                <c:pt idx="3">
                  <c:v>0.16142901839253213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47A-84E3-BD215C607DC0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Average of 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4"/>
                <c:pt idx="0">
                  <c:v>0.34635506099329966</c:v>
                </c:pt>
                <c:pt idx="1">
                  <c:v>0.25961640802946118</c:v>
                </c:pt>
                <c:pt idx="2">
                  <c:v>4.4066509638096801E-2</c:v>
                </c:pt>
                <c:pt idx="3">
                  <c:v>3.0064047825962718E-2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B-447A-84E3-BD215C607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43951"/>
        <c:axId val="875344431"/>
      </c:barChart>
      <c:catAx>
        <c:axId val="87534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44431"/>
        <c:crosses val="autoZero"/>
        <c:auto val="1"/>
        <c:lblAlgn val="ctr"/>
        <c:lblOffset val="100"/>
        <c:noMultiLvlLbl val="0"/>
      </c:catAx>
      <c:valAx>
        <c:axId val="87534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[FSRA  INDIVIDUAL ASSINGMENT.xlsx]CHARTS!PivotTable74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CHARTS!$B$22</c:f>
              <c:strCache>
                <c:ptCount val="1"/>
                <c:pt idx="0">
                  <c:v>Sum of Tax Burden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CHARTS!$A$23:$A$27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CHARTS!$B$23:$B$27</c:f>
              <c:numCache>
                <c:formatCode>General</c:formatCode>
                <c:ptCount val="4"/>
                <c:pt idx="0">
                  <c:v>0.63280221763065914</c:v>
                </c:pt>
                <c:pt idx="1">
                  <c:v>0.68817645129550675</c:v>
                </c:pt>
                <c:pt idx="2">
                  <c:v>2.5184726313110062</c:v>
                </c:pt>
                <c:pt idx="3">
                  <c:v>8.0900389635350241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E-45D4-BF5C-AB8C244FDB96}"/>
            </c:ext>
          </c:extLst>
        </c:ser>
        <c:ser>
          <c:idx val="1"/>
          <c:order val="1"/>
          <c:tx>
            <c:strRef>
              <c:f>CHARTS!$C$22</c:f>
              <c:strCache>
                <c:ptCount val="1"/>
                <c:pt idx="0">
                  <c:v>Sum of Interest Burden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CHARTS!$A$23:$A$27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CHARTS!$C$23:$C$27</c:f>
              <c:numCache>
                <c:formatCode>General</c:formatCode>
                <c:ptCount val="4"/>
                <c:pt idx="0">
                  <c:v>1.2397726998581018</c:v>
                </c:pt>
                <c:pt idx="1">
                  <c:v>0.77380876847915736</c:v>
                </c:pt>
                <c:pt idx="2">
                  <c:v>0.55967483787685179</c:v>
                </c:pt>
                <c:pt idx="3">
                  <c:v>0.1537708008236503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E-45D4-BF5C-AB8C244FD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596799"/>
        <c:axId val="1048602079"/>
      </c:barChart>
      <c:catAx>
        <c:axId val="104859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2079"/>
        <c:crosses val="autoZero"/>
        <c:auto val="1"/>
        <c:lblAlgn val="ctr"/>
        <c:lblOffset val="100"/>
        <c:noMultiLvlLbl val="0"/>
      </c:catAx>
      <c:valAx>
        <c:axId val="104860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9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DUPONT!$O$1</c:f>
              <c:strCache>
                <c:ptCount val="1"/>
                <c:pt idx="0">
                  <c:v>Net Profit Margin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DUPONT!$O$2:$O$21</c:f>
              <c:numCache>
                <c:formatCode>General</c:formatCode>
                <c:ptCount val="20"/>
                <c:pt idx="0">
                  <c:v>12.545590433482809</c:v>
                </c:pt>
                <c:pt idx="1">
                  <c:v>8.658372213582167</c:v>
                </c:pt>
                <c:pt idx="2">
                  <c:v>3.14058524173028</c:v>
                </c:pt>
                <c:pt idx="3">
                  <c:v>2.4125412541254128</c:v>
                </c:pt>
                <c:pt idx="4">
                  <c:v>1.2242030201342282</c:v>
                </c:pt>
                <c:pt idx="5">
                  <c:v>0.27517005234098618</c:v>
                </c:pt>
                <c:pt idx="6">
                  <c:v>0.36337187604997156</c:v>
                </c:pt>
                <c:pt idx="7">
                  <c:v>0.1683840946386243</c:v>
                </c:pt>
                <c:pt idx="8">
                  <c:v>0.16749298335055787</c:v>
                </c:pt>
                <c:pt idx="9">
                  <c:v>0.17324002883863812</c:v>
                </c:pt>
                <c:pt idx="10">
                  <c:v>0.14030049477630016</c:v>
                </c:pt>
                <c:pt idx="11">
                  <c:v>0.17141230222438014</c:v>
                </c:pt>
                <c:pt idx="12">
                  <c:v>4.475345283978456E-2</c:v>
                </c:pt>
                <c:pt idx="13">
                  <c:v>5.8472161077922101E-2</c:v>
                </c:pt>
                <c:pt idx="14">
                  <c:v>5.6612924174402376E-2</c:v>
                </c:pt>
                <c:pt idx="15">
                  <c:v>0.21454654939589801</c:v>
                </c:pt>
                <c:pt idx="16">
                  <c:v>0.16730284844762422</c:v>
                </c:pt>
                <c:pt idx="17">
                  <c:v>4.6958403201831561E-2</c:v>
                </c:pt>
                <c:pt idx="18">
                  <c:v>0.10544619720416507</c:v>
                </c:pt>
                <c:pt idx="19">
                  <c:v>7.3686033334710244E-2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C-4F77-9E5E-1A1D98876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9752960"/>
        <c:axId val="1849750080"/>
      </c:barChart>
      <c:catAx>
        <c:axId val="18497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50080"/>
        <c:crosses val="autoZero"/>
        <c:auto val="1"/>
        <c:lblAlgn val="ctr"/>
        <c:lblOffset val="100"/>
        <c:noMultiLvlLbl val="0"/>
      </c:catAx>
      <c:valAx>
        <c:axId val="18497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[FSRA  INDIVIDUAL ASSINGMENT.xlsx]CHARTS!PivotTable64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Average of 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CHARTS!$A$4:$A$8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0.13027745126871157</c:v>
                </c:pt>
                <c:pt idx="1">
                  <c:v>8.2059855884394642E-2</c:v>
                </c:pt>
                <c:pt idx="2">
                  <c:v>0.22292669849876584</c:v>
                </c:pt>
                <c:pt idx="3">
                  <c:v>0.16142901839253213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8-482E-BA43-98311E7B4A3C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Average of 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CHARTS!$A$4:$A$8</c:f>
              <c:strCache>
                <c:ptCount val="4"/>
                <c:pt idx="0">
                  <c:v>JSPL</c:v>
                </c:pt>
                <c:pt idx="1">
                  <c:v>JSW STEEL</c:v>
                </c:pt>
                <c:pt idx="2">
                  <c:v>SAIL</c:v>
                </c:pt>
                <c:pt idx="3">
                  <c:v>TATA STEEL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4"/>
                <c:pt idx="0">
                  <c:v>0.34635506099329966</c:v>
                </c:pt>
                <c:pt idx="1">
                  <c:v>0.25961640802946118</c:v>
                </c:pt>
                <c:pt idx="2">
                  <c:v>4.4066509638096801E-2</c:v>
                </c:pt>
                <c:pt idx="3">
                  <c:v>3.0064047825962718E-2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8-482E-BA43-98311E7B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68911"/>
        <c:axId val="119067951"/>
      </c:lineChart>
      <c:catAx>
        <c:axId val="11906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7951"/>
        <c:crosses val="autoZero"/>
        <c:auto val="1"/>
        <c:lblAlgn val="ctr"/>
        <c:lblOffset val="100"/>
        <c:noMultiLvlLbl val="0"/>
      </c:catAx>
      <c:valAx>
        <c:axId val="1190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5467149280048"/>
          <c:y val="0.24535486129623862"/>
          <c:w val="0.80373458909427176"/>
          <c:h val="0.61548534672305055"/>
        </c:manualLayout>
      </c:layout>
      <c:lineChart>
        <c:grouping val="standard"/>
        <c:varyColors val="0"/>
        <c:ser>
          <c:idx val="0"/>
          <c:order val="0"/>
          <c:tx>
            <c:strRef>
              <c:f>DUPONT!$I$1</c:f>
              <c:strCache>
                <c:ptCount val="1"/>
                <c:pt idx="0">
                  <c:v>Tax Burden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DUPONT!$I$2:$I$21</c:f>
              <c:numCache>
                <c:formatCode>General</c:formatCode>
                <c:ptCount val="20"/>
                <c:pt idx="0">
                  <c:v>0.68817645129550675</c:v>
                </c:pt>
                <c:pt idx="1">
                  <c:v>0.67578393688043703</c:v>
                </c:pt>
                <c:pt idx="2">
                  <c:v>0.70852468427095294</c:v>
                </c:pt>
                <c:pt idx="3">
                  <c:v>0.66443563047430176</c:v>
                </c:pt>
                <c:pt idx="4">
                  <c:v>0.89209842579856335</c:v>
                </c:pt>
                <c:pt idx="5">
                  <c:v>8.0900389635350241</c:v>
                </c:pt>
                <c:pt idx="6">
                  <c:v>-88.047645876763013</c:v>
                </c:pt>
                <c:pt idx="7">
                  <c:v>49.508970085997618</c:v>
                </c:pt>
                <c:pt idx="8">
                  <c:v>-43.664064667690198</c:v>
                </c:pt>
                <c:pt idx="9">
                  <c:v>23.339253581122986</c:v>
                </c:pt>
                <c:pt idx="10">
                  <c:v>2.5184726313110062</c:v>
                </c:pt>
                <c:pt idx="11">
                  <c:v>1.4761998295469676</c:v>
                </c:pt>
                <c:pt idx="12">
                  <c:v>2.4562312474055079</c:v>
                </c:pt>
                <c:pt idx="13">
                  <c:v>2.2543841996846079</c:v>
                </c:pt>
                <c:pt idx="14">
                  <c:v>2.7009767407214289</c:v>
                </c:pt>
                <c:pt idx="15">
                  <c:v>0.63280221763065914</c:v>
                </c:pt>
                <c:pt idx="16">
                  <c:v>0.65830927284474849</c:v>
                </c:pt>
                <c:pt idx="17">
                  <c:v>0.58367425472299383</c:v>
                </c:pt>
                <c:pt idx="18">
                  <c:v>0.65332423133770845</c:v>
                </c:pt>
                <c:pt idx="19">
                  <c:v>0.6623584715845694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2-4E99-9C1A-6FBE10B9DAEF}"/>
            </c:ext>
          </c:extLst>
        </c:ser>
        <c:ser>
          <c:idx val="1"/>
          <c:order val="1"/>
          <c:tx>
            <c:strRef>
              <c:f>DUPONT!$J$1</c:f>
              <c:strCache>
                <c:ptCount val="1"/>
                <c:pt idx="0">
                  <c:v>Interest Burden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DUPONT!$J$2:$J$21</c:f>
              <c:numCache>
                <c:formatCode>General</c:formatCode>
                <c:ptCount val="20"/>
                <c:pt idx="0">
                  <c:v>0.77380876847915736</c:v>
                </c:pt>
                <c:pt idx="1">
                  <c:v>0.86524996499089768</c:v>
                </c:pt>
                <c:pt idx="2">
                  <c:v>0.58110249353681931</c:v>
                </c:pt>
                <c:pt idx="3">
                  <c:v>0.66457990115321253</c:v>
                </c:pt>
                <c:pt idx="4">
                  <c:v>0.50218742804513006</c:v>
                </c:pt>
                <c:pt idx="5">
                  <c:v>0.1537708008236503</c:v>
                </c:pt>
                <c:pt idx="6">
                  <c:v>-1.2076710141492584E-2</c:v>
                </c:pt>
                <c:pt idx="7">
                  <c:v>2.4194487722564297E-2</c:v>
                </c:pt>
                <c:pt idx="8">
                  <c:v>-2.7716895047401373E-2</c:v>
                </c:pt>
                <c:pt idx="9">
                  <c:v>5.2547593761151867E-2</c:v>
                </c:pt>
                <c:pt idx="10">
                  <c:v>0.55967483787685179</c:v>
                </c:pt>
                <c:pt idx="11">
                  <c:v>0.7491271123880211</c:v>
                </c:pt>
                <c:pt idx="12">
                  <c:v>0.7217045708803107</c:v>
                </c:pt>
                <c:pt idx="13">
                  <c:v>0.74114820469293619</c:v>
                </c:pt>
                <c:pt idx="14">
                  <c:v>0.71388783642756959</c:v>
                </c:pt>
                <c:pt idx="15">
                  <c:v>1.2397726998581018</c:v>
                </c:pt>
                <c:pt idx="16">
                  <c:v>1.1266815782121904</c:v>
                </c:pt>
                <c:pt idx="17">
                  <c:v>1.4476840745525006</c:v>
                </c:pt>
                <c:pt idx="18">
                  <c:v>1.1287692114058763</c:v>
                </c:pt>
                <c:pt idx="19">
                  <c:v>1.1279161887156806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2-4E99-9C1A-6FBE10B9D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675552"/>
        <c:axId val="1860676032"/>
      </c:lineChart>
      <c:catAx>
        <c:axId val="18606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76032"/>
        <c:crosses val="autoZero"/>
        <c:auto val="1"/>
        <c:lblAlgn val="ctr"/>
        <c:lblOffset val="100"/>
        <c:noMultiLvlLbl val="0"/>
      </c:catAx>
      <c:valAx>
        <c:axId val="18606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7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7200770143074"/>
          <c:y val="8.2536297294052902E-2"/>
          <c:w val="0.80033067297155203"/>
          <c:h val="0.724563052761057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DUPONT!$N$1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DUPONT!$N$2:$N$21</c:f>
              <c:numCache>
                <c:formatCode>General</c:formatCode>
                <c:ptCount val="20"/>
                <c:pt idx="0">
                  <c:v>0.25961640802946118</c:v>
                </c:pt>
                <c:pt idx="1">
                  <c:v>0.38920646918946161</c:v>
                </c:pt>
                <c:pt idx="2">
                  <c:v>0.109458207009221</c:v>
                </c:pt>
                <c:pt idx="3">
                  <c:v>0.16075342374772522</c:v>
                </c:pt>
                <c:pt idx="4">
                  <c:v>8.1952429263893581E-2</c:v>
                </c:pt>
                <c:pt idx="5">
                  <c:v>3.0064047825962718E-2</c:v>
                </c:pt>
                <c:pt idx="6">
                  <c:v>-4.245029408350671E-3</c:v>
                </c:pt>
                <c:pt idx="7">
                  <c:v>3.5580410292508071E-3</c:v>
                </c:pt>
                <c:pt idx="8">
                  <c:v>-3.8278837979070523E-3</c:v>
                </c:pt>
                <c:pt idx="9">
                  <c:v>7.7615003763060837E-3</c:v>
                </c:pt>
                <c:pt idx="10">
                  <c:v>4.4066509638096801E-2</c:v>
                </c:pt>
                <c:pt idx="11">
                  <c:v>0.15265847205323754</c:v>
                </c:pt>
                <c:pt idx="12">
                  <c:v>2.0554608388628742E-2</c:v>
                </c:pt>
                <c:pt idx="13">
                  <c:v>2.7484935934921351E-2</c:v>
                </c:pt>
                <c:pt idx="14">
                  <c:v>2.134798752212734E-2</c:v>
                </c:pt>
                <c:pt idx="15">
                  <c:v>0.34635506099329966</c:v>
                </c:pt>
                <c:pt idx="16">
                  <c:v>0.31176214950862824</c:v>
                </c:pt>
                <c:pt idx="17">
                  <c:v>0.10251905658353647</c:v>
                </c:pt>
                <c:pt idx="18">
                  <c:v>0.17742034044349095</c:v>
                </c:pt>
                <c:pt idx="19">
                  <c:v>0.10986303643660425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4-4B2B-B0A0-A0CAD8C95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9963616"/>
        <c:axId val="1859965056"/>
      </c:barChart>
      <c:catAx>
        <c:axId val="18599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65056"/>
        <c:crosses val="autoZero"/>
        <c:auto val="1"/>
        <c:lblAlgn val="ctr"/>
        <c:lblOffset val="100"/>
        <c:noMultiLvlLbl val="0"/>
      </c:catAx>
      <c:valAx>
        <c:axId val="18599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6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13954505686784E-2"/>
          <c:y val="0.30311388159813357"/>
          <c:w val="0.83048840769903765"/>
          <c:h val="0.560346675415572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DUPONT!$N$1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DUPONT!$N$2:$N$21</c:f>
              <c:numCache>
                <c:formatCode>General</c:formatCode>
                <c:ptCount val="20"/>
                <c:pt idx="0">
                  <c:v>0.25961640802946118</c:v>
                </c:pt>
                <c:pt idx="1">
                  <c:v>0.38920646918946161</c:v>
                </c:pt>
                <c:pt idx="2">
                  <c:v>0.109458207009221</c:v>
                </c:pt>
                <c:pt idx="3">
                  <c:v>0.16075342374772522</c:v>
                </c:pt>
                <c:pt idx="4">
                  <c:v>8.1952429263893581E-2</c:v>
                </c:pt>
                <c:pt idx="5">
                  <c:v>3.0064047825962718E-2</c:v>
                </c:pt>
                <c:pt idx="6">
                  <c:v>-4.245029408350671E-3</c:v>
                </c:pt>
                <c:pt idx="7">
                  <c:v>3.5580410292508071E-3</c:v>
                </c:pt>
                <c:pt idx="8">
                  <c:v>-3.8278837979070523E-3</c:v>
                </c:pt>
                <c:pt idx="9">
                  <c:v>7.7615003763060837E-3</c:v>
                </c:pt>
                <c:pt idx="10">
                  <c:v>4.4066509638096801E-2</c:v>
                </c:pt>
                <c:pt idx="11">
                  <c:v>0.15265847205323754</c:v>
                </c:pt>
                <c:pt idx="12">
                  <c:v>2.0554608388628742E-2</c:v>
                </c:pt>
                <c:pt idx="13">
                  <c:v>2.7484935934921351E-2</c:v>
                </c:pt>
                <c:pt idx="14">
                  <c:v>2.134798752212734E-2</c:v>
                </c:pt>
                <c:pt idx="15">
                  <c:v>0.34635506099329966</c:v>
                </c:pt>
                <c:pt idx="16">
                  <c:v>0.31176214950862824</c:v>
                </c:pt>
                <c:pt idx="17">
                  <c:v>0.10251905658353647</c:v>
                </c:pt>
                <c:pt idx="18">
                  <c:v>0.17742034044349095</c:v>
                </c:pt>
                <c:pt idx="19">
                  <c:v>0.10986303643660425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D-46C5-920E-856470DD9A38}"/>
            </c:ext>
          </c:extLst>
        </c:ser>
        <c:ser>
          <c:idx val="1"/>
          <c:order val="1"/>
          <c:tx>
            <c:strRef>
              <c:f>DUPONT!$P$1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DUPONT!$P$2:$P$21</c:f>
              <c:numCache>
                <c:formatCode>General</c:formatCode>
                <c:ptCount val="20"/>
                <c:pt idx="0">
                  <c:v>8.2059855884394642E-2</c:v>
                </c:pt>
                <c:pt idx="1">
                  <c:v>0.13913231815001167</c:v>
                </c:pt>
                <c:pt idx="2">
                  <c:v>4.0034057735971455E-2</c:v>
                </c:pt>
                <c:pt idx="3">
                  <c:v>5.8003736591910784E-2</c:v>
                </c:pt>
                <c:pt idx="4">
                  <c:v>3.8874976689666198E-2</c:v>
                </c:pt>
                <c:pt idx="5">
                  <c:v>0.16142901839253213</c:v>
                </c:pt>
                <c:pt idx="6">
                  <c:v>0.27140535908693625</c:v>
                </c:pt>
                <c:pt idx="7">
                  <c:v>0.12648151478878919</c:v>
                </c:pt>
                <c:pt idx="8">
                  <c:v>0.12148612338855541</c:v>
                </c:pt>
                <c:pt idx="9">
                  <c:v>0.11502899476303483</c:v>
                </c:pt>
                <c:pt idx="10">
                  <c:v>0.22292669849876584</c:v>
                </c:pt>
                <c:pt idx="11">
                  <c:v>0.34097607057981272</c:v>
                </c:pt>
                <c:pt idx="12">
                  <c:v>8.9651966141393105E-2</c:v>
                </c:pt>
                <c:pt idx="13">
                  <c:v>0.11382631689984987</c:v>
                </c:pt>
                <c:pt idx="14">
                  <c:v>0.10423938590361828</c:v>
                </c:pt>
                <c:pt idx="15">
                  <c:v>0.13027745126871157</c:v>
                </c:pt>
                <c:pt idx="16">
                  <c:v>0.14372169478550759</c:v>
                </c:pt>
                <c:pt idx="17">
                  <c:v>4.531716017965301E-2</c:v>
                </c:pt>
                <c:pt idx="18">
                  <c:v>9.1634377218831581E-2</c:v>
                </c:pt>
                <c:pt idx="19">
                  <c:v>6.2839386970733324E-2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D-46C5-920E-856470DD9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2088032"/>
        <c:axId val="1902088992"/>
      </c:barChart>
      <c:catAx>
        <c:axId val="19020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8992"/>
        <c:crosses val="autoZero"/>
        <c:auto val="1"/>
        <c:lblAlgn val="ctr"/>
        <c:lblOffset val="100"/>
        <c:noMultiLvlLbl val="0"/>
      </c:catAx>
      <c:valAx>
        <c:axId val="19020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DUPONT!$O$1</c:f>
              <c:strCache>
                <c:ptCount val="1"/>
                <c:pt idx="0">
                  <c:v>Net Profit Margin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DUPONT!$A$2:$A$21</c:f>
              <c:strCache>
                <c:ptCount val="16"/>
                <c:pt idx="0">
                  <c:v>JSW STEEL</c:v>
                </c:pt>
                <c:pt idx="5">
                  <c:v>TATA STEEL</c:v>
                </c:pt>
                <c:pt idx="10">
                  <c:v>SAIL</c:v>
                </c:pt>
                <c:pt idx="15">
                  <c:v>JSPL</c:v>
                </c:pt>
              </c:strCache>
            </c:strRef>
          </c:cat>
          <c:val>
            <c:numRef>
              <c:f>DUPONT!$O$2:$O$21</c:f>
              <c:numCache>
                <c:formatCode>General</c:formatCode>
                <c:ptCount val="20"/>
                <c:pt idx="0">
                  <c:v>12.545590433482809</c:v>
                </c:pt>
                <c:pt idx="1">
                  <c:v>8.658372213582167</c:v>
                </c:pt>
                <c:pt idx="2">
                  <c:v>3.14058524173028</c:v>
                </c:pt>
                <c:pt idx="3">
                  <c:v>2.4125412541254128</c:v>
                </c:pt>
                <c:pt idx="4">
                  <c:v>1.2242030201342282</c:v>
                </c:pt>
                <c:pt idx="5">
                  <c:v>0.27517005234098618</c:v>
                </c:pt>
                <c:pt idx="6">
                  <c:v>0.36337187604997156</c:v>
                </c:pt>
                <c:pt idx="7">
                  <c:v>0.1683840946386243</c:v>
                </c:pt>
                <c:pt idx="8">
                  <c:v>0.16749298335055787</c:v>
                </c:pt>
                <c:pt idx="9">
                  <c:v>0.17324002883863812</c:v>
                </c:pt>
                <c:pt idx="10">
                  <c:v>0.14030049477630016</c:v>
                </c:pt>
                <c:pt idx="11">
                  <c:v>0.17141230222438014</c:v>
                </c:pt>
                <c:pt idx="12">
                  <c:v>4.475345283978456E-2</c:v>
                </c:pt>
                <c:pt idx="13">
                  <c:v>5.8472161077922101E-2</c:v>
                </c:pt>
                <c:pt idx="14">
                  <c:v>5.6612924174402376E-2</c:v>
                </c:pt>
                <c:pt idx="15">
                  <c:v>0.21454654939589801</c:v>
                </c:pt>
                <c:pt idx="16">
                  <c:v>0.16730284844762422</c:v>
                </c:pt>
                <c:pt idx="17">
                  <c:v>4.6958403201831561E-2</c:v>
                </c:pt>
                <c:pt idx="18">
                  <c:v>0.10544619720416507</c:v>
                </c:pt>
                <c:pt idx="19">
                  <c:v>7.3686033334710244E-2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9-46E0-9FD2-5C6D6F5D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9752960"/>
        <c:axId val="1849750080"/>
      </c:barChart>
      <c:catAx>
        <c:axId val="18497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50080"/>
        <c:crosses val="autoZero"/>
        <c:auto val="1"/>
        <c:lblAlgn val="ctr"/>
        <c:lblOffset val="100"/>
        <c:noMultiLvlLbl val="0"/>
      </c:catAx>
      <c:valAx>
        <c:axId val="18497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1184910</xdr:colOff>
      <xdr:row>22</xdr:row>
      <xdr:rowOff>16510</xdr:rowOff>
    </xdr:from>
    <xdr:to>
      <xdr:col>11</xdr:col>
      <xdr:colOff>1262380</xdr:colOff>
      <xdr:row>37</xdr:row>
      <xdr:rowOff>16510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62DD0-02DF-72B7-C245-E8F42328A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863600</xdr:colOff>
      <xdr:row>22</xdr:row>
      <xdr:rowOff>34290</xdr:rowOff>
    </xdr:from>
    <xdr:to>
      <xdr:col>7</xdr:col>
      <xdr:colOff>760730</xdr:colOff>
      <xdr:row>37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9A40B-78AB-4790-F0E9-74EF8D0EB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92949</xdr:colOff>
      <xdr:row>5</xdr:row>
      <xdr:rowOff>151480</xdr:rowOff>
    </xdr:from>
    <xdr:to>
      <xdr:col>13</xdr:col>
      <xdr:colOff>661688</xdr:colOff>
      <xdr:row>19</xdr:row>
      <xdr:rowOff>189028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16C765-F903-CCB8-913C-2C0F9752F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293576</xdr:colOff>
      <xdr:row>0</xdr:row>
      <xdr:rowOff>91440</xdr:rowOff>
    </xdr:from>
    <xdr:to>
      <xdr:col>25</xdr:col>
      <xdr:colOff>162442</xdr:colOff>
      <xdr:row>36</xdr:row>
      <xdr:rowOff>140291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D5F5A5D-2344-A68B-52F7-1C1B068EDB39}"/>
            </a:ext>
          </a:extLst>
        </xdr:cNvPr>
        <xdr:cNvSpPr/>
      </xdr:nvSpPr>
      <xdr:spPr>
        <a:xfrm>
          <a:off x="293576" y="91440"/>
          <a:ext cx="15190087" cy="669420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16200000" scaled="1"/>
          <a:tileRect/>
        </a:gradFill>
        <a:ln w="38100"/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246846</xdr:colOff>
      <xdr:row>2</xdr:row>
      <xdr:rowOff>32198</xdr:rowOff>
    </xdr:from>
    <xdr:to>
      <xdr:col>16</xdr:col>
      <xdr:colOff>257577</xdr:colOff>
      <xdr:row>6</xdr:row>
      <xdr:rowOff>96592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24B71DC-51DA-763D-9BDD-76F50C0EC3E6}"/>
            </a:ext>
          </a:extLst>
        </xdr:cNvPr>
        <xdr:cNvSpPr/>
      </xdr:nvSpPr>
      <xdr:spPr>
        <a:xfrm>
          <a:off x="858592" y="397099"/>
          <a:ext cx="9186929" cy="794197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                          </a:t>
          </a:r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DASHBOARD ON STEEL ANALYSIS</a:t>
          </a:r>
        </a:p>
      </xdr:txBody>
    </xdr:sp>
    <xdr:clientData/>
  </xdr:twoCellAnchor>
  <xdr:twoCellAnchor>
    <xdr:from>
      <xdr:col>1</xdr:col>
      <xdr:colOff>3719</xdr:colOff>
      <xdr:row>7</xdr:row>
      <xdr:rowOff>124324</xdr:rowOff>
    </xdr:from>
    <xdr:to>
      <xdr:col>6</xdr:col>
      <xdr:colOff>73837</xdr:colOff>
      <xdr:row>18</xdr:row>
      <xdr:rowOff>95989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3A823-D2FC-4422-BC77-082D1EF70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443026</xdr:colOff>
      <xdr:row>7</xdr:row>
      <xdr:rowOff>73837</xdr:rowOff>
    </xdr:from>
    <xdr:to>
      <xdr:col>13</xdr:col>
      <xdr:colOff>295350</xdr:colOff>
      <xdr:row>18</xdr:row>
      <xdr:rowOff>7384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113B89-68F6-4C08-A1C3-BE3A3784A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214127</xdr:colOff>
      <xdr:row>7</xdr:row>
      <xdr:rowOff>24985</xdr:rowOff>
    </xdr:from>
    <xdr:to>
      <xdr:col>21</xdr:col>
      <xdr:colOff>361802</xdr:colOff>
      <xdr:row>17</xdr:row>
      <xdr:rowOff>103372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EE8F37-81AF-420F-95FC-ADB4482C1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125524</xdr:colOff>
      <xdr:row>20</xdr:row>
      <xdr:rowOff>17602</xdr:rowOff>
    </xdr:from>
    <xdr:to>
      <xdr:col>8</xdr:col>
      <xdr:colOff>310116</xdr:colOff>
      <xdr:row>33</xdr:row>
      <xdr:rowOff>140289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5C2309-523E-4D82-8085-86706353E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574157</xdr:colOff>
      <xdr:row>19</xdr:row>
      <xdr:rowOff>143126</xdr:rowOff>
    </xdr:from>
    <xdr:to>
      <xdr:col>17</xdr:col>
      <xdr:colOff>243367</xdr:colOff>
      <xdr:row>34</xdr:row>
      <xdr:rowOff>117430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EDF7FA-C7FA-490D-BA78-08BF3B0A7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 Gupta" refreshedDate="46100.779144791668" createdVersion="8" refreshedVersion="8" minRefreshableVersion="3" recordCount="20" xr:uid="{5EB260BE-18CC-463E-85ED-22C5701798DA}">
  <cacheSource type="worksheet">
    <worksheetSource ref="A1:Q21" sheet="DUPONT"/>
  </cacheSource>
  <cacheFields count="17">
    <cacheField name="Company" numFmtId="0">
      <sharedItems containsBlank="1" count="5">
        <s v="JSW STEEL"/>
        <m/>
        <s v="TATA STEEL"/>
        <s v="SAIL"/>
        <s v="JSPL"/>
      </sharedItems>
    </cacheField>
    <cacheField name="Year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Revenue" numFmtId="0">
      <sharedItems containsSemiMixedTypes="0" containsString="0" containsNumber="1" minValue="669" maxValue="142913.32"/>
    </cacheField>
    <cacheField name="EBIT" numFmtId="0">
      <sharedItems containsSemiMixedTypes="0" containsString="0" containsNumber="1" minValue="2636.91" maxValue="44090.65"/>
    </cacheField>
    <cacheField name="EBT" numFmtId="0">
      <sharedItems containsSemiMixedTypes="0" containsString="0" containsNumber="1" minValue="-540.61" maxValue="24715"/>
    </cacheField>
    <cacheField name="Net Profit" numFmtId="0">
      <sharedItems containsSemiMixedTypes="0" containsString="0" containsNumber="1" minValue="2426.83" maxValue="46882.73"/>
    </cacheField>
    <cacheField name="Total Assets" numFmtId="0">
      <sharedItems containsSemiMixedTypes="0" containsString="0" containsNumber="1" minValue="43494.879999999997" maxValue="199577.42"/>
    </cacheField>
    <cacheField name="Equity" numFmtId="0">
      <sharedItems containsSemiMixedTypes="0" containsString="0" containsNumber="1" minValue="32642.11" maxValue="141229.47"/>
    </cacheField>
    <cacheField name="Tax Burden" numFmtId="0">
      <sharedItems containsSemiMixedTypes="0" containsString="0" containsNumber="1" minValue="-88.047645876763013" maxValue="49.508970085997618"/>
    </cacheField>
    <cacheField name="Interest Burden" numFmtId="0">
      <sharedItems containsSemiMixedTypes="0" containsString="0" containsNumber="1" minValue="-2.7716895047401373E-2" maxValue="1.4476840745525006"/>
    </cacheField>
    <cacheField name="Operating Margin" numFmtId="0">
      <sharedItems containsSemiMixedTypes="0" containsString="0" containsNumber="1" minValue="2.5246305890354717E-2" maxValue="23.559043348281016"/>
    </cacheField>
    <cacheField name="Asset Turnover" numFmtId="0">
      <sharedItems containsSemiMixedTypes="0" containsString="0" containsNumber="1" minValue="6.5409321561610886E-3" maxValue="2.0032413244703888"/>
    </cacheField>
    <cacheField name="Equity Multiplier" numFmtId="0">
      <sharedItems containsSemiMixedTypes="0" containsString="0" containsNumber="1" minValue="0.49783314079611629" maxValue="2.1772143815058431"/>
    </cacheField>
    <cacheField name="ROE" numFmtId="0">
      <sharedItems containsSemiMixedTypes="0" containsString="0" containsNumber="1" minValue="-4.245029408350671E-3" maxValue="0.38920646918946161"/>
    </cacheField>
    <cacheField name="Net Profit Margin" numFmtId="0">
      <sharedItems containsSemiMixedTypes="0" containsString="0" containsNumber="1" minValue="4.475345283978456E-2" maxValue="12.545590433482809"/>
    </cacheField>
    <cacheField name="ROA" numFmtId="0">
      <sharedItems containsSemiMixedTypes="0" containsString="0" containsNumber="1" minValue="3.8874976689666198E-2" maxValue="0.34097607057981272"/>
    </cacheField>
    <cacheField name="Financial leverage" numFmtId="0">
      <sharedItems containsSemiMixedTypes="0" containsString="0" containsNumber="1" minValue="0.49783314079611629" maxValue="2.1772143815058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669"/>
    <n v="15761"/>
    <n v="12196"/>
    <n v="8393"/>
    <n v="102279"/>
    <n v="46977"/>
    <n v="0.68817645129550675"/>
    <n v="0.77380876847915736"/>
    <n v="23.559043348281016"/>
    <n v="6.5409321561610886E-3"/>
    <n v="2.1772143815058431"/>
    <n v="0.25961640802946118"/>
    <n v="12.545590433482809"/>
    <n v="8.2059855884394642E-2"/>
    <n v="2.1772143815058431"/>
  </r>
  <r>
    <x v="1"/>
    <x v="1"/>
    <n v="1929"/>
    <n v="28564"/>
    <n v="24715"/>
    <n v="16702"/>
    <n v="120044"/>
    <n v="63501"/>
    <n v="0.67578393688043703"/>
    <n v="0.86524996499089768"/>
    <n v="14.807672369103162"/>
    <n v="1.6069107993735631E-2"/>
    <n v="1.8904269224106707"/>
    <n v="0.38920646918946161"/>
    <n v="8.658372213582167"/>
    <n v="0.13913231815001167"/>
    <n v="1.8904269224106707"/>
  </r>
  <r>
    <x v="1"/>
    <x v="2"/>
    <n v="1572"/>
    <n v="11991"/>
    <n v="6968"/>
    <n v="4937"/>
    <n v="123320"/>
    <n v="63659"/>
    <n v="0.70852468427095294"/>
    <n v="0.58110249353681931"/>
    <n v="7.6278625954198471"/>
    <n v="1.2747324035030814E-2"/>
    <n v="1.9371966257716897"/>
    <n v="0.109458207009221"/>
    <n v="3.14058524173028"/>
    <n v="4.0034057735971455E-2"/>
    <n v="1.9371966257716897"/>
  </r>
  <r>
    <x v="1"/>
    <x v="3"/>
    <n v="3333"/>
    <n v="18210"/>
    <n v="12102"/>
    <n v="8041"/>
    <n v="138629"/>
    <n v="75283"/>
    <n v="0.66443563047430176"/>
    <n v="0.66457990115321253"/>
    <n v="5.4635463546354632"/>
    <n v="2.4042588491585453E-2"/>
    <n v="1.8414383061248887"/>
    <n v="0.16075342374772522"/>
    <n v="2.4125412541254128"/>
    <n v="5.8003736591910784E-2"/>
    <n v="1.8414383061248887"/>
  </r>
  <r>
    <x v="1"/>
    <x v="4"/>
    <n v="4768"/>
    <n v="13029"/>
    <n v="6543"/>
    <n v="5837"/>
    <n v="150148"/>
    <n v="79839"/>
    <n v="0.89209842579856335"/>
    <n v="0.50218742804513006"/>
    <n v="2.7325922818791946"/>
    <n v="3.1755334736393429E-2"/>
    <n v="1.8806347774896981"/>
    <n v="8.1952429263893581E-2"/>
    <n v="1.2242030201342282"/>
    <n v="3.8874976689666198E-2"/>
    <n v="1.8806347774896981"/>
  </r>
  <r>
    <x v="2"/>
    <x v="0"/>
    <n v="84132.92"/>
    <n v="18609.84"/>
    <n v="2861.65"/>
    <n v="23150.86"/>
    <n v="143412.01"/>
    <n v="95185.12"/>
    <n v="8.0900389635350241"/>
    <n v="0.1537708008236503"/>
    <n v="0.22119569842577674"/>
    <n v="0.58665184317547736"/>
    <n v="1.5066641718789662"/>
    <n v="3.0064047825962718E-2"/>
    <n v="0.27517005234098618"/>
    <n v="0.16142901839253213"/>
    <n v="1.5066641718789662"/>
  </r>
  <r>
    <x v="1"/>
    <x v="1"/>
    <n v="129021.35"/>
    <n v="44090.65"/>
    <n v="-532.47"/>
    <n v="46882.73"/>
    <n v="172740.62"/>
    <n v="125433.76"/>
    <n v="-88.047645876763013"/>
    <n v="-1.2076710141492584E-2"/>
    <n v="0.34173142662047795"/>
    <n v="0.74690799419383824"/>
    <n v="1.3771461526785134"/>
    <n v="-4.245029408350671E-3"/>
    <n v="0.36337187604997156"/>
    <n v="0.27140535908693625"/>
    <n v="1.3771461526785134"/>
  </r>
  <r>
    <x v="1"/>
    <x v="2"/>
    <n v="142913.32"/>
    <n v="20089.7"/>
    <n v="486.06"/>
    <n v="24064.33"/>
    <n v="190259.66"/>
    <n v="136608.88"/>
    <n v="49.508970085997618"/>
    <n v="2.4194487722564297E-2"/>
    <n v="0.1405726212224305"/>
    <n v="0.75114882471670563"/>
    <n v="1.3927327418246895"/>
    <n v="3.5580410292508071E-3"/>
    <n v="0.1683840946386243"/>
    <n v="0.12648151478878919"/>
    <n v="1.3927327418246895"/>
  </r>
  <r>
    <x v="1"/>
    <x v="3"/>
    <n v="140932.65"/>
    <n v="19504.71"/>
    <n v="-540.61"/>
    <n v="23605.23"/>
    <n v="194303.92"/>
    <n v="141229.47"/>
    <n v="-43.664064667690198"/>
    <n v="-2.7716895047401373E-2"/>
    <n v="0.13839738343102184"/>
    <n v="0.72532067289224011"/>
    <n v="1.3758029397122287"/>
    <n v="-3.8278837979070523E-3"/>
    <n v="0.16749298335055787"/>
    <n v="0.12148612338855541"/>
    <n v="1.3758029397122287"/>
  </r>
  <r>
    <x v="1"/>
    <x v="4"/>
    <n v="132516.66"/>
    <n v="18718.84"/>
    <n v="983.63"/>
    <n v="22957.190000000002"/>
    <n v="199577.42"/>
    <n v="126731.94"/>
    <n v="23.339253581122986"/>
    <n v="5.2547593761151867E-2"/>
    <n v="0.14125650314458574"/>
    <n v="0.66398623651914124"/>
    <n v="1.5747996913800895"/>
    <n v="7.7615003763060837E-3"/>
    <n v="0.17324002883863812"/>
    <n v="0.11502899476303483"/>
    <n v="1.5747996913800895"/>
  </r>
  <r>
    <x v="3"/>
    <x v="0"/>
    <n v="69110.02"/>
    <n v="6879.03"/>
    <n v="3850.02"/>
    <n v="9696.17"/>
    <n v="43494.879999999997"/>
    <n v="87368.39"/>
    <n v="2.5184726313110062"/>
    <n v="0.55967483787685179"/>
    <n v="9.9537375332838851E-2"/>
    <n v="1.5889231100304222"/>
    <n v="0.49783314079611629"/>
    <n v="4.4066509638096801E-2"/>
    <n v="0.14030049477630016"/>
    <n v="0.22292669849876584"/>
    <n v="0.49783314079611629"/>
  </r>
  <r>
    <x v="1"/>
    <x v="1"/>
    <n v="103473.32"/>
    <n v="16038.72"/>
    <n v="12015.04"/>
    <n v="17736.599999999999"/>
    <n v="52017.14"/>
    <n v="78705.36"/>
    <n v="1.4761998295469676"/>
    <n v="0.7491271123880211"/>
    <n v="0.15500343470181491"/>
    <n v="1.9892158623100002"/>
    <n v="0.66090975252511386"/>
    <n v="0.15265847205323754"/>
    <n v="0.17141230222438014"/>
    <n v="0.34097607057981272"/>
    <n v="0.66090975252511386"/>
  </r>
  <r>
    <x v="1"/>
    <x v="2"/>
    <n v="104447.36"/>
    <n v="2636.91"/>
    <n v="1903.07"/>
    <n v="4674.38"/>
    <n v="52139.18"/>
    <n v="92586.05"/>
    <n v="2.4562312474055079"/>
    <n v="0.7217045708803107"/>
    <n v="2.5246305890354717E-2"/>
    <n v="2.0032413244703888"/>
    <n v="0.56314293567983509"/>
    <n v="2.0554608388628742E-2"/>
    <n v="4.475345283978456E-2"/>
    <n v="8.9651966141393105E-2"/>
    <n v="0.56314293567983509"/>
  </r>
  <r>
    <x v="1"/>
    <x v="3"/>
    <n v="105374.59"/>
    <n v="3687.67"/>
    <n v="2733.11"/>
    <n v="6161.48"/>
    <n v="54130.54"/>
    <n v="99440.29"/>
    <n v="2.2543841996846079"/>
    <n v="0.74114820469293619"/>
    <n v="3.4995818251819535E-2"/>
    <n v="1.9466753887916137"/>
    <n v="0.54435219366315202"/>
    <n v="2.7484935934921351E-2"/>
    <n v="5.8472161077922101E-2"/>
    <n v="0.11382631689984987"/>
    <n v="0.54435219366315202"/>
  </r>
  <r>
    <x v="1"/>
    <x v="4"/>
    <n v="102478.19"/>
    <n v="3008.82"/>
    <n v="2147.96"/>
    <n v="5801.59"/>
    <n v="55656.41"/>
    <n v="100616.51"/>
    <n v="2.7009767407214289"/>
    <n v="0.71388783642756959"/>
    <n v="2.9360588823826809E-2"/>
    <n v="1.841264824662604"/>
    <n v="0.55315385119201621"/>
    <n v="2.134798752212734E-2"/>
    <n v="5.6612924174402376E-2"/>
    <n v="0.10423938590361828"/>
    <n v="0.55315385119201621"/>
  </r>
  <r>
    <x v="4"/>
    <x v="0"/>
    <n v="33346.19"/>
    <n v="9119.2199999999993"/>
    <n v="11305.759999999998"/>
    <n v="7154.31"/>
    <n v="54915.95"/>
    <n v="32642.11"/>
    <n v="0.63280221763065914"/>
    <n v="1.2397726998581018"/>
    <n v="0.27347112218817199"/>
    <n v="0.60722230972968694"/>
    <n v="1.682365202494569"/>
    <n v="0.34635506099329966"/>
    <n v="0.21454654939589801"/>
    <n v="0.13027745126871157"/>
    <n v="1.682365202494569"/>
  </r>
  <r>
    <x v="1"/>
    <x v="1"/>
    <n v="49511.53"/>
    <n v="11168.08"/>
    <n v="12582.869999999999"/>
    <n v="8283.42"/>
    <n v="57635.14"/>
    <n v="40360.480000000003"/>
    <n v="0.65830927284474849"/>
    <n v="1.1266815782121904"/>
    <n v="0.22556523702660775"/>
    <n v="0.85905109278818437"/>
    <n v="1.4280092803653475"/>
    <n v="0.31176214950862824"/>
    <n v="0.16730284844762422"/>
    <n v="0.14372169478550759"/>
    <n v="1.4280092803653475"/>
  </r>
  <r>
    <x v="1"/>
    <x v="2"/>
    <n v="51680.42"/>
    <n v="2872.07"/>
    <n v="4157.8500000000004"/>
    <n v="2426.83"/>
    <n v="53552.12"/>
    <n v="40556.85"/>
    <n v="0.58367425472299383"/>
    <n v="1.4476840745525006"/>
    <n v="5.5573658263613185E-2"/>
    <n v="0.96504900272855665"/>
    <n v="1.3204210879296594"/>
    <n v="0.10251905658353647"/>
    <n v="4.6958403201831561E-2"/>
    <n v="4.531716017965301E-2"/>
    <n v="1.3204210879296594"/>
  </r>
  <r>
    <x v="1"/>
    <x v="3"/>
    <n v="50009.39"/>
    <n v="7150.7"/>
    <n v="8071.49"/>
    <n v="5273.3"/>
    <n v="57547.18"/>
    <n v="45493.599999999999"/>
    <n v="0.65332423133770845"/>
    <n v="1.1287692114058763"/>
    <n v="0.14298714701379081"/>
    <n v="0.86901547564971904"/>
    <n v="1.2649511140028489"/>
    <n v="0.17742034044349095"/>
    <n v="0.10544619720416507"/>
    <n v="9.1634377218831581E-2"/>
    <n v="1.2649511140028489"/>
  </r>
  <r>
    <x v="1"/>
    <x v="4"/>
    <n v="49143.37"/>
    <n v="4847.08"/>
    <n v="5467.1"/>
    <n v="3621.18"/>
    <n v="57625.96"/>
    <n v="49762.87"/>
    <n v="0.6623584715845694"/>
    <n v="1.1279161887156806"/>
    <n v="9.8631412538456351E-2"/>
    <n v="0.85279915510301263"/>
    <n v="1.1580111838404819"/>
    <n v="0.10986303643660425"/>
    <n v="7.3686033334710244E-2"/>
    <n v="6.2839386970733324E-2"/>
    <n v="1.15801118384048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4E72E-CC76-47AB-B76B-9E2A54BDC25F}" name="PivotTable7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:I19" firstHeaderRow="0" firstDataRow="1" firstDataCol="1"/>
  <pivotFields count="17"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ncial leverage" fld="16" baseField="0" baseItem="0"/>
    <dataField name="Sum of Asset Turnover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D4C8C-AC8B-4144-8AF1-CEC93248B2F2}" name="PivotTable7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C27" firstHeaderRow="0" firstDataRow="1" firstDataCol="1"/>
  <pivotFields count="17">
    <pivotField axis="axisRow" showAll="0">
      <items count="6">
        <item x="4"/>
        <item x="0"/>
        <item x="3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x Burden" fld="8" baseField="0" baseItem="0"/>
    <dataField name="Sum of Interest Burden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D46F3-9B41-4068-B163-3C5B0A21E40E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E18" firstHeaderRow="0" firstDataRow="1" firstDataCol="1" rowPageCount="1" colPageCount="1"/>
  <pivotFields count="17">
    <pivotField axis="axisRow" showAll="0">
      <items count="6">
        <item x="4"/>
        <item x="0"/>
        <item x="3"/>
        <item x="2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Operating Margin" fld="10" baseField="0" baseItem="0"/>
    <dataField name="Sum of Asset Turnover" fld="11" baseField="0" baseItem="0"/>
    <dataField name="Sum of Net Profit Margin" fld="14" baseField="0" baseItem="0"/>
    <dataField name="Sum of Financial leverag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EDA7-7565-4135-881A-490E27BD443A}" name="PivotTable6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17">
    <pivotField axis="axisRow" showAll="0">
      <items count="6">
        <item x="4"/>
        <item x="0"/>
        <item x="3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OA" fld="15" subtotal="average" baseField="0" baseItem="0"/>
    <dataField name="Average of ROE" fld="13" subtotal="average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A307F-4D48-47C6-BE70-427696C8A77A}" name="PivotTable7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H9" firstHeaderRow="1" firstDataRow="1" firstDataCol="1" rowPageCount="1" colPageCount="1"/>
  <pivotFields count="17">
    <pivotField axis="axisRow" showAll="0">
      <items count="6">
        <item x="4"/>
        <item x="0"/>
        <item x="3"/>
        <item x="2"/>
        <item x="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um of Equity Multiplier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E7B2-0C86-4714-9BB6-3F1DF7D62989}">
  <dimension ref="A1:AK201"/>
  <sheetViews>
    <sheetView topLeftCell="I54" zoomScale="60" zoomScaleNormal="40" workbookViewId="0">
      <selection activeCell="A62" sqref="A62:AI62"/>
    </sheetView>
  </sheetViews>
  <sheetFormatPr defaultColWidth="8.90625" defaultRowHeight="14.5" x14ac:dyDescent="0.35"/>
  <cols>
    <col min="1" max="1" width="31.81640625" style="4" bestFit="1" customWidth="1"/>
    <col min="2" max="2" width="12.08984375" style="4" bestFit="1" customWidth="1"/>
    <col min="3" max="4" width="11.81640625" style="4" bestFit="1" customWidth="1"/>
    <col min="5" max="11" width="13.81640625" style="4" bestFit="1" customWidth="1"/>
    <col min="12" max="13" width="8.90625" style="4"/>
    <col min="14" max="14" width="50.36328125" style="4" bestFit="1" customWidth="1"/>
    <col min="15" max="20" width="11.81640625" style="4" bestFit="1" customWidth="1"/>
    <col min="21" max="24" width="13.81640625" style="4" bestFit="1" customWidth="1"/>
    <col min="25" max="26" width="8.90625" style="4"/>
    <col min="27" max="27" width="51.08984375" style="4" bestFit="1" customWidth="1"/>
    <col min="28" max="32" width="11.1796875" style="4" bestFit="1" customWidth="1"/>
    <col min="33" max="34" width="12.54296875" style="4" bestFit="1" customWidth="1"/>
    <col min="35" max="37" width="11.1796875" style="4" bestFit="1" customWidth="1"/>
    <col min="38" max="16384" width="8.90625" style="4"/>
  </cols>
  <sheetData>
    <row r="1" spans="1:37" x14ac:dyDescent="0.35">
      <c r="A1" s="73" t="s">
        <v>122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 spans="1:37" x14ac:dyDescent="0.3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spans="1:37" ht="13.75" customHeight="1" x14ac:dyDescent="0.35">
      <c r="A3" s="5" t="s">
        <v>0</v>
      </c>
      <c r="B3" s="6"/>
      <c r="C3" s="14"/>
      <c r="D3" s="13"/>
      <c r="E3" s="13"/>
      <c r="F3" s="13"/>
      <c r="G3" s="13"/>
      <c r="H3" s="13"/>
      <c r="I3" s="13"/>
      <c r="J3" s="13"/>
      <c r="K3" s="13"/>
      <c r="N3" s="5" t="s">
        <v>35</v>
      </c>
      <c r="O3" s="6"/>
      <c r="P3" s="14"/>
      <c r="Q3" s="13"/>
      <c r="R3" s="13"/>
      <c r="S3" s="13"/>
      <c r="T3" s="13"/>
      <c r="U3" s="13"/>
      <c r="V3" s="13"/>
      <c r="W3" s="13"/>
      <c r="X3" s="13"/>
      <c r="AA3" s="5" t="s">
        <v>74</v>
      </c>
      <c r="AB3" s="6"/>
      <c r="AC3" s="14"/>
      <c r="AD3" s="13"/>
      <c r="AE3" s="13"/>
      <c r="AF3" s="13"/>
      <c r="AG3" s="13"/>
      <c r="AH3" s="13"/>
      <c r="AI3" s="13"/>
      <c r="AJ3" s="13"/>
      <c r="AK3" s="13"/>
    </row>
    <row r="4" spans="1:37" x14ac:dyDescent="0.35">
      <c r="A4" s="36" t="s">
        <v>1</v>
      </c>
      <c r="B4" s="36">
        <v>201603</v>
      </c>
      <c r="C4" s="36">
        <v>201703</v>
      </c>
      <c r="D4" s="36">
        <v>201803</v>
      </c>
      <c r="E4" s="36">
        <v>201903</v>
      </c>
      <c r="F4" s="36">
        <v>202003</v>
      </c>
      <c r="G4" s="36">
        <v>202103</v>
      </c>
      <c r="H4" s="36">
        <v>202203</v>
      </c>
      <c r="I4" s="36">
        <v>202303</v>
      </c>
      <c r="J4" s="36">
        <v>202403</v>
      </c>
      <c r="K4" s="36">
        <v>202503</v>
      </c>
      <c r="N4" s="36" t="s">
        <v>1</v>
      </c>
      <c r="O4" s="36">
        <v>201603</v>
      </c>
      <c r="P4" s="36">
        <v>201703</v>
      </c>
      <c r="Q4" s="36">
        <v>201803</v>
      </c>
      <c r="R4" s="36">
        <v>201903</v>
      </c>
      <c r="S4" s="36">
        <v>202003</v>
      </c>
      <c r="T4" s="36">
        <v>202103</v>
      </c>
      <c r="U4" s="36">
        <v>202203</v>
      </c>
      <c r="V4" s="36">
        <v>202303</v>
      </c>
      <c r="W4" s="36">
        <v>202403</v>
      </c>
      <c r="X4" s="36">
        <v>202503</v>
      </c>
      <c r="AA4" s="36" t="s">
        <v>1</v>
      </c>
      <c r="AB4" s="36">
        <v>201603</v>
      </c>
      <c r="AC4" s="36">
        <v>201703</v>
      </c>
      <c r="AD4" s="36">
        <v>201803</v>
      </c>
      <c r="AE4" s="36">
        <v>201903</v>
      </c>
      <c r="AF4" s="36">
        <v>202003</v>
      </c>
      <c r="AG4" s="36">
        <v>202103</v>
      </c>
      <c r="AH4" s="36">
        <v>202203</v>
      </c>
      <c r="AI4" s="36">
        <v>202303</v>
      </c>
      <c r="AJ4" s="36">
        <v>202403</v>
      </c>
      <c r="AK4" s="36">
        <v>202503</v>
      </c>
    </row>
    <row r="5" spans="1:37" x14ac:dyDescent="0.35">
      <c r="A5" s="12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N5" s="12" t="s">
        <v>36</v>
      </c>
      <c r="O5" s="28"/>
      <c r="P5" s="28"/>
      <c r="Q5" s="28"/>
      <c r="R5" s="28"/>
      <c r="S5" s="28"/>
      <c r="T5" s="28"/>
      <c r="U5" s="28"/>
      <c r="V5" s="28"/>
      <c r="W5" s="28"/>
      <c r="X5" s="28"/>
      <c r="AA5" s="12" t="s">
        <v>75</v>
      </c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spans="1:37" x14ac:dyDescent="0.35">
      <c r="A6" s="12" t="s">
        <v>3</v>
      </c>
      <c r="B6" s="12">
        <v>300.89999999999998</v>
      </c>
      <c r="C6" s="12">
        <v>301</v>
      </c>
      <c r="D6" s="12">
        <v>497</v>
      </c>
      <c r="E6" s="12">
        <v>301</v>
      </c>
      <c r="F6" s="12">
        <v>301</v>
      </c>
      <c r="G6" s="12">
        <v>302</v>
      </c>
      <c r="H6" s="12">
        <v>301</v>
      </c>
      <c r="I6" s="12">
        <v>301</v>
      </c>
      <c r="J6" s="12">
        <v>305</v>
      </c>
      <c r="K6" s="12">
        <v>305</v>
      </c>
      <c r="N6" s="12" t="s">
        <v>37</v>
      </c>
      <c r="O6" s="22">
        <v>40858.959999999999</v>
      </c>
      <c r="P6" s="22">
        <v>56913</v>
      </c>
      <c r="Q6" s="22">
        <v>67723</v>
      </c>
      <c r="R6" s="22">
        <v>77187</v>
      </c>
      <c r="S6" s="22">
        <v>64262</v>
      </c>
      <c r="T6" s="22">
        <v>70727</v>
      </c>
      <c r="U6" s="22">
        <v>118820</v>
      </c>
      <c r="V6" s="22">
        <v>131687</v>
      </c>
      <c r="W6" s="22">
        <v>135180</v>
      </c>
      <c r="X6" s="22">
        <v>127702</v>
      </c>
      <c r="AA6" s="12" t="s">
        <v>76</v>
      </c>
      <c r="AB6" s="12">
        <v>809.9</v>
      </c>
      <c r="AC6" s="12">
        <v>465</v>
      </c>
      <c r="AD6" s="12">
        <v>712</v>
      </c>
      <c r="AE6" s="12">
        <v>495</v>
      </c>
      <c r="AF6" s="22">
        <v>5366</v>
      </c>
      <c r="AG6" s="22">
        <v>3438</v>
      </c>
      <c r="AH6" s="22">
        <v>11121</v>
      </c>
      <c r="AI6" s="22">
        <v>7670</v>
      </c>
      <c r="AJ6" s="22">
        <v>13668</v>
      </c>
      <c r="AK6" s="22">
        <v>4953</v>
      </c>
    </row>
    <row r="7" spans="1:37" x14ac:dyDescent="0.35">
      <c r="A7" s="12" t="s">
        <v>4</v>
      </c>
      <c r="B7" s="22">
        <v>20109.349999999999</v>
      </c>
      <c r="C7" s="22">
        <v>23797</v>
      </c>
      <c r="D7" s="22">
        <v>27605</v>
      </c>
      <c r="E7" s="22">
        <v>34592</v>
      </c>
      <c r="F7" s="22">
        <v>38061</v>
      </c>
      <c r="G7" s="22">
        <v>46675</v>
      </c>
      <c r="H7" s="22">
        <v>63200</v>
      </c>
      <c r="I7" s="22">
        <v>63358</v>
      </c>
      <c r="J7" s="22">
        <v>74978</v>
      </c>
      <c r="K7" s="22">
        <v>79534</v>
      </c>
      <c r="N7" s="12" t="s">
        <v>39</v>
      </c>
      <c r="O7" s="22">
        <v>36706.92</v>
      </c>
      <c r="P7" s="22">
        <v>52290</v>
      </c>
      <c r="Q7" s="22">
        <v>66464</v>
      </c>
      <c r="R7" s="22">
        <v>77187</v>
      </c>
      <c r="S7" s="22">
        <v>64262</v>
      </c>
      <c r="T7" s="22">
        <v>70727</v>
      </c>
      <c r="U7" s="22">
        <v>118820</v>
      </c>
      <c r="V7" s="22">
        <v>131687</v>
      </c>
      <c r="W7" s="22">
        <v>135180</v>
      </c>
      <c r="X7" s="22">
        <v>127702</v>
      </c>
      <c r="AA7" s="12" t="s">
        <v>77</v>
      </c>
      <c r="AB7" s="22">
        <v>5669.5</v>
      </c>
      <c r="AC7" s="22">
        <v>8561</v>
      </c>
      <c r="AD7" s="22">
        <v>12174</v>
      </c>
      <c r="AE7" s="22">
        <v>15578</v>
      </c>
      <c r="AF7" s="22">
        <v>14110</v>
      </c>
      <c r="AG7" s="22">
        <v>17733</v>
      </c>
      <c r="AH7" s="22">
        <v>23335</v>
      </c>
      <c r="AI7" s="22">
        <v>20444</v>
      </c>
      <c r="AJ7" s="22">
        <v>5449</v>
      </c>
      <c r="AK7" s="22">
        <v>16891</v>
      </c>
    </row>
    <row r="8" spans="1:37" x14ac:dyDescent="0.35">
      <c r="A8" s="12" t="s">
        <v>5</v>
      </c>
      <c r="B8" s="22">
        <v>20410.25</v>
      </c>
      <c r="C8" s="22">
        <v>24098</v>
      </c>
      <c r="D8" s="22">
        <v>28102</v>
      </c>
      <c r="E8" s="22">
        <v>34893</v>
      </c>
      <c r="F8" s="22">
        <v>38362</v>
      </c>
      <c r="G8" s="22">
        <v>46977</v>
      </c>
      <c r="H8" s="22">
        <v>63501</v>
      </c>
      <c r="I8" s="22">
        <v>63659</v>
      </c>
      <c r="J8" s="22">
        <v>75283</v>
      </c>
      <c r="K8" s="22">
        <v>79839</v>
      </c>
      <c r="N8" s="12" t="s">
        <v>40</v>
      </c>
      <c r="O8" s="12">
        <v>318.3</v>
      </c>
      <c r="P8" s="12">
        <v>255</v>
      </c>
      <c r="Q8" s="12">
        <v>213</v>
      </c>
      <c r="R8" s="12">
        <v>405</v>
      </c>
      <c r="S8" s="12">
        <v>628</v>
      </c>
      <c r="T8" s="12">
        <v>669</v>
      </c>
      <c r="U8" s="22">
        <v>1929</v>
      </c>
      <c r="V8" s="22">
        <v>1572</v>
      </c>
      <c r="W8" s="22">
        <v>3333</v>
      </c>
      <c r="X8" s="22">
        <v>4768</v>
      </c>
      <c r="AA8" s="12" t="s">
        <v>78</v>
      </c>
      <c r="AB8" s="12">
        <v>-5239.2700000000004</v>
      </c>
      <c r="AC8" s="12">
        <v>5131</v>
      </c>
      <c r="AD8" s="12">
        <v>7075</v>
      </c>
      <c r="AE8" s="12">
        <v>11707</v>
      </c>
      <c r="AF8" s="12">
        <v>4292</v>
      </c>
      <c r="AG8" s="12">
        <v>12196</v>
      </c>
      <c r="AH8" s="12">
        <v>24715</v>
      </c>
      <c r="AI8" s="12">
        <v>6968</v>
      </c>
      <c r="AJ8" s="12">
        <v>12102</v>
      </c>
      <c r="AK8" s="12">
        <v>6543</v>
      </c>
    </row>
    <row r="9" spans="1:37" x14ac:dyDescent="0.35">
      <c r="A9" s="12" t="s">
        <v>6</v>
      </c>
      <c r="B9" s="22">
        <v>17056.11</v>
      </c>
      <c r="C9" s="22">
        <v>16355</v>
      </c>
      <c r="D9" s="22">
        <v>14942</v>
      </c>
      <c r="E9" s="22">
        <v>16625</v>
      </c>
      <c r="F9" s="22">
        <v>21852</v>
      </c>
      <c r="G9" s="22">
        <v>23980</v>
      </c>
      <c r="H9" s="22">
        <v>18631</v>
      </c>
      <c r="I9" s="22">
        <v>24124</v>
      </c>
      <c r="J9" s="22">
        <v>24435</v>
      </c>
      <c r="K9" s="22">
        <v>29935</v>
      </c>
      <c r="N9" s="12" t="s">
        <v>41</v>
      </c>
      <c r="O9" s="22">
        <v>-1083.56</v>
      </c>
      <c r="P9" s="22">
        <v>1390</v>
      </c>
      <c r="Q9" s="12">
        <v>-412</v>
      </c>
      <c r="R9" s="12">
        <v>180</v>
      </c>
      <c r="S9" s="12">
        <v>27</v>
      </c>
      <c r="T9" s="12">
        <v>872</v>
      </c>
      <c r="U9" s="22">
        <v>3112</v>
      </c>
      <c r="V9" s="12">
        <v>590</v>
      </c>
      <c r="W9" s="22">
        <v>1736</v>
      </c>
      <c r="X9" s="12">
        <v>-916</v>
      </c>
      <c r="AA9" s="12" t="s">
        <v>79</v>
      </c>
      <c r="AB9" s="12">
        <v>2847.24</v>
      </c>
      <c r="AC9" s="12">
        <v>3025</v>
      </c>
      <c r="AD9" s="12">
        <v>3054</v>
      </c>
      <c r="AE9" s="12">
        <v>3421</v>
      </c>
      <c r="AF9" s="12">
        <v>3522</v>
      </c>
      <c r="AG9" s="12">
        <v>3781</v>
      </c>
      <c r="AH9" s="12">
        <v>4511</v>
      </c>
      <c r="AI9" s="12">
        <v>4952</v>
      </c>
      <c r="AJ9" s="12">
        <v>5435</v>
      </c>
      <c r="AK9" s="12">
        <v>5913</v>
      </c>
    </row>
    <row r="10" spans="1:37" x14ac:dyDescent="0.35">
      <c r="A10" s="12" t="s">
        <v>7</v>
      </c>
      <c r="B10" s="22">
        <v>18601.46</v>
      </c>
      <c r="C10" s="22">
        <v>21918</v>
      </c>
      <c r="D10" s="22">
        <v>21044</v>
      </c>
      <c r="E10" s="22">
        <v>27081</v>
      </c>
      <c r="F10" s="22">
        <v>32858</v>
      </c>
      <c r="G10" s="22">
        <v>27166</v>
      </c>
      <c r="H10" s="22">
        <v>34555</v>
      </c>
      <c r="I10" s="22">
        <v>33079</v>
      </c>
      <c r="J10" s="22">
        <v>36745</v>
      </c>
      <c r="K10" s="22">
        <v>38435</v>
      </c>
      <c r="N10" s="12" t="s">
        <v>42</v>
      </c>
      <c r="O10" s="22">
        <v>35941.660000000003</v>
      </c>
      <c r="P10" s="22">
        <v>53935</v>
      </c>
      <c r="Q10" s="22">
        <v>66265</v>
      </c>
      <c r="R10" s="22">
        <v>77772</v>
      </c>
      <c r="S10" s="22">
        <v>64917</v>
      </c>
      <c r="T10" s="22">
        <v>72268</v>
      </c>
      <c r="U10" s="22">
        <v>123861</v>
      </c>
      <c r="V10" s="22">
        <v>133849</v>
      </c>
      <c r="W10" s="22">
        <v>140249</v>
      </c>
      <c r="X10" s="22">
        <v>131554</v>
      </c>
      <c r="AA10" s="12" t="s">
        <v>80</v>
      </c>
      <c r="AB10" s="12">
        <v>2543.27</v>
      </c>
      <c r="AC10" s="12">
        <v>3306</v>
      </c>
      <c r="AD10" s="12">
        <v>3266</v>
      </c>
      <c r="AE10" s="12">
        <v>3290</v>
      </c>
      <c r="AF10" s="12">
        <v>3303</v>
      </c>
      <c r="AG10" s="12">
        <v>2817</v>
      </c>
      <c r="AH10" s="12">
        <v>2534</v>
      </c>
      <c r="AI10" s="12">
        <v>3524</v>
      </c>
      <c r="AJ10" s="12">
        <v>4752</v>
      </c>
      <c r="AK10" s="12">
        <v>4515</v>
      </c>
    </row>
    <row r="11" spans="1:37" x14ac:dyDescent="0.35">
      <c r="A11" s="12" t="s">
        <v>8</v>
      </c>
      <c r="B11" s="22">
        <v>35657.57</v>
      </c>
      <c r="C11" s="22">
        <v>38273</v>
      </c>
      <c r="D11" s="22">
        <v>35986</v>
      </c>
      <c r="E11" s="22">
        <v>43706</v>
      </c>
      <c r="F11" s="22">
        <v>54710</v>
      </c>
      <c r="G11" s="22">
        <v>51146</v>
      </c>
      <c r="H11" s="22">
        <v>53186</v>
      </c>
      <c r="I11" s="22">
        <v>57203</v>
      </c>
      <c r="J11" s="22">
        <v>61180</v>
      </c>
      <c r="K11" s="22">
        <v>68370</v>
      </c>
      <c r="N11" s="12" t="s">
        <v>43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AA11" s="12" t="s">
        <v>81</v>
      </c>
      <c r="AB11" s="12">
        <v>-18.29</v>
      </c>
      <c r="AC11" s="12">
        <v>-18</v>
      </c>
      <c r="AD11" s="12">
        <v>-5</v>
      </c>
      <c r="AE11" s="12">
        <v>-124</v>
      </c>
      <c r="AF11" s="12">
        <v>-31</v>
      </c>
      <c r="AG11" s="12">
        <v>-9</v>
      </c>
      <c r="AH11" s="12">
        <v>-17</v>
      </c>
      <c r="AI11" s="12">
        <v>-152</v>
      </c>
      <c r="AJ11" s="12">
        <v>-17</v>
      </c>
      <c r="AK11" s="12">
        <v>-107</v>
      </c>
    </row>
    <row r="12" spans="1:37" x14ac:dyDescent="0.35">
      <c r="A12" s="12" t="s">
        <v>9</v>
      </c>
      <c r="B12" s="22">
        <v>1153.93</v>
      </c>
      <c r="C12" s="22">
        <v>1046</v>
      </c>
      <c r="D12" s="12">
        <v>817</v>
      </c>
      <c r="E12" s="22">
        <v>5348</v>
      </c>
      <c r="F12" s="22">
        <v>4808</v>
      </c>
      <c r="G12" s="22">
        <v>4156</v>
      </c>
      <c r="H12" s="22">
        <v>3357</v>
      </c>
      <c r="I12" s="22">
        <v>2458</v>
      </c>
      <c r="J12" s="22">
        <v>2166</v>
      </c>
      <c r="K12" s="22">
        <v>1939</v>
      </c>
      <c r="N12" s="12" t="s">
        <v>44</v>
      </c>
      <c r="O12" s="22">
        <v>18916.04</v>
      </c>
      <c r="P12" s="22">
        <v>29345</v>
      </c>
      <c r="Q12" s="22">
        <v>37058</v>
      </c>
      <c r="R12" s="22">
        <v>39678</v>
      </c>
      <c r="S12" s="22">
        <v>33493</v>
      </c>
      <c r="T12" s="22">
        <v>28942</v>
      </c>
      <c r="U12" s="22">
        <v>51691</v>
      </c>
      <c r="V12" s="22">
        <v>76284</v>
      </c>
      <c r="W12" s="22">
        <v>72700</v>
      </c>
      <c r="X12" s="22">
        <v>66652</v>
      </c>
      <c r="AA12" s="12" t="s">
        <v>82</v>
      </c>
      <c r="AB12" s="12">
        <v>0.33</v>
      </c>
      <c r="AC12" s="12">
        <v>134</v>
      </c>
      <c r="AD12" s="12">
        <v>124</v>
      </c>
      <c r="AE12" s="12">
        <v>7</v>
      </c>
      <c r="AF12" s="12">
        <v>29</v>
      </c>
      <c r="AG12" s="12">
        <v>30</v>
      </c>
      <c r="AH12" s="12">
        <v>61</v>
      </c>
      <c r="AI12" s="12">
        <v>61</v>
      </c>
      <c r="AJ12" s="12">
        <v>81</v>
      </c>
      <c r="AK12" s="12">
        <v>138</v>
      </c>
    </row>
    <row r="13" spans="1:37" x14ac:dyDescent="0.35">
      <c r="A13" s="12" t="s">
        <v>10</v>
      </c>
      <c r="B13" s="22">
        <v>57221.75</v>
      </c>
      <c r="C13" s="22">
        <v>63417</v>
      </c>
      <c r="D13" s="22">
        <v>64905</v>
      </c>
      <c r="E13" s="22">
        <v>83947</v>
      </c>
      <c r="F13" s="22">
        <v>97880</v>
      </c>
      <c r="G13" s="22">
        <v>102279</v>
      </c>
      <c r="H13" s="22">
        <v>120044</v>
      </c>
      <c r="I13" s="22">
        <v>123320</v>
      </c>
      <c r="J13" s="22">
        <v>138629</v>
      </c>
      <c r="K13" s="22">
        <v>150148</v>
      </c>
      <c r="N13" s="12" t="s">
        <v>45</v>
      </c>
      <c r="O13" s="22">
        <v>3093.12</v>
      </c>
      <c r="P13" s="22">
        <v>4097</v>
      </c>
      <c r="Q13" s="22">
        <v>4771</v>
      </c>
      <c r="R13" s="22">
        <v>6437</v>
      </c>
      <c r="S13" s="22">
        <v>5533</v>
      </c>
      <c r="T13" s="22">
        <v>5210</v>
      </c>
      <c r="U13" s="22">
        <v>8930</v>
      </c>
      <c r="V13" s="22">
        <v>13842</v>
      </c>
      <c r="W13" s="22">
        <v>11575</v>
      </c>
      <c r="X13" s="22">
        <v>12136</v>
      </c>
      <c r="AA13" s="12" t="s">
        <v>84</v>
      </c>
      <c r="AB13" s="12">
        <v>5860.61</v>
      </c>
      <c r="AC13" s="12">
        <v>37</v>
      </c>
      <c r="AD13" s="12">
        <v>381</v>
      </c>
      <c r="AE13" s="12">
        <v>132</v>
      </c>
      <c r="AF13" s="12">
        <v>96</v>
      </c>
      <c r="AG13" s="12">
        <v>58</v>
      </c>
      <c r="AH13" s="12">
        <v>41</v>
      </c>
      <c r="AI13" s="12">
        <v>1</v>
      </c>
      <c r="AJ13" s="12">
        <v>8</v>
      </c>
      <c r="AK13" s="12">
        <v>10</v>
      </c>
    </row>
    <row r="14" spans="1:37" x14ac:dyDescent="0.35">
      <c r="A14" s="12" t="s">
        <v>11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N14" s="12" t="s">
        <v>46</v>
      </c>
      <c r="O14" s="12">
        <v>953.29</v>
      </c>
      <c r="P14" s="22">
        <v>1168</v>
      </c>
      <c r="Q14" s="22">
        <v>1260</v>
      </c>
      <c r="R14" s="22">
        <v>1435</v>
      </c>
      <c r="S14" s="22">
        <v>1496</v>
      </c>
      <c r="T14" s="22">
        <v>1501</v>
      </c>
      <c r="U14" s="22">
        <v>1870</v>
      </c>
      <c r="V14" s="22">
        <v>1975</v>
      </c>
      <c r="W14" s="22">
        <v>2357</v>
      </c>
      <c r="X14" s="22">
        <v>2488</v>
      </c>
      <c r="AA14" s="12" t="s">
        <v>85</v>
      </c>
      <c r="AB14" s="12">
        <v>329.59</v>
      </c>
      <c r="AC14" s="12">
        <v>-77</v>
      </c>
      <c r="AD14" s="12">
        <v>44</v>
      </c>
      <c r="AE14" s="12">
        <v>201</v>
      </c>
      <c r="AF14" s="12">
        <v>566</v>
      </c>
      <c r="AG14" s="12">
        <v>-415</v>
      </c>
      <c r="AH14" s="12">
        <v>273</v>
      </c>
      <c r="AI14" s="12">
        <v>2021</v>
      </c>
      <c r="AJ14" s="12">
        <v>-202</v>
      </c>
      <c r="AK14" s="12">
        <v>382</v>
      </c>
    </row>
    <row r="15" spans="1:37" x14ac:dyDescent="0.35">
      <c r="A15" s="12" t="s">
        <v>12</v>
      </c>
      <c r="B15" s="22">
        <v>49387.57</v>
      </c>
      <c r="C15" s="22">
        <v>56039</v>
      </c>
      <c r="D15" s="22">
        <v>58347</v>
      </c>
      <c r="E15" s="22">
        <v>63791</v>
      </c>
      <c r="F15" s="22">
        <v>64175</v>
      </c>
      <c r="G15" s="22">
        <v>68371</v>
      </c>
      <c r="H15" s="22">
        <v>91762</v>
      </c>
      <c r="I15" s="22">
        <v>99453</v>
      </c>
      <c r="J15" s="22">
        <v>108780</v>
      </c>
      <c r="K15" s="22">
        <v>111804</v>
      </c>
      <c r="N15" s="12" t="s">
        <v>47</v>
      </c>
      <c r="O15" s="22">
        <v>5039.7299999999996</v>
      </c>
      <c r="P15" s="22">
        <v>6221</v>
      </c>
      <c r="Q15" s="22">
        <v>7755</v>
      </c>
      <c r="R15" s="22">
        <v>9253</v>
      </c>
      <c r="S15" s="22">
        <v>8770</v>
      </c>
      <c r="T15" s="22">
        <v>15036</v>
      </c>
      <c r="U15" s="22">
        <v>25187</v>
      </c>
      <c r="V15" s="22">
        <v>20723</v>
      </c>
      <c r="W15" s="22">
        <v>24744</v>
      </c>
      <c r="X15" s="22">
        <v>23508</v>
      </c>
      <c r="AA15" s="12" t="s">
        <v>86</v>
      </c>
      <c r="AB15" s="12">
        <v>0</v>
      </c>
      <c r="AC15" s="12">
        <v>-63</v>
      </c>
      <c r="AD15" s="12">
        <v>-87</v>
      </c>
      <c r="AE15" s="12">
        <v>-136</v>
      </c>
      <c r="AF15" s="12">
        <v>1172</v>
      </c>
      <c r="AG15" s="12">
        <v>123</v>
      </c>
      <c r="AH15" s="12">
        <v>-452</v>
      </c>
      <c r="AI15" s="12">
        <v>-11</v>
      </c>
      <c r="AJ15" s="12">
        <v>-214</v>
      </c>
      <c r="AK15" s="12">
        <v>1396</v>
      </c>
    </row>
    <row r="16" spans="1:37" x14ac:dyDescent="0.35">
      <c r="A16" s="12" t="s">
        <v>13</v>
      </c>
      <c r="B16" s="22">
        <v>2827.64</v>
      </c>
      <c r="C16" s="22">
        <v>5773</v>
      </c>
      <c r="D16" s="22">
        <v>8779</v>
      </c>
      <c r="E16" s="22">
        <v>12019</v>
      </c>
      <c r="F16" s="22">
        <v>13633</v>
      </c>
      <c r="G16" s="22">
        <v>16429</v>
      </c>
      <c r="H16" s="22">
        <v>20116</v>
      </c>
      <c r="I16" s="22">
        <v>24397</v>
      </c>
      <c r="J16" s="22">
        <v>29194</v>
      </c>
      <c r="K16" s="22">
        <v>33295</v>
      </c>
      <c r="N16" s="12" t="s">
        <v>48</v>
      </c>
      <c r="O16" s="12">
        <v>188.9</v>
      </c>
      <c r="P16" s="12">
        <v>224</v>
      </c>
      <c r="Q16" s="12">
        <v>174</v>
      </c>
      <c r="R16" s="12">
        <v>470</v>
      </c>
      <c r="S16" s="12">
        <v>280</v>
      </c>
      <c r="T16" s="12">
        <v>247</v>
      </c>
      <c r="U16" s="12">
        <v>287</v>
      </c>
      <c r="V16" s="12">
        <v>484</v>
      </c>
      <c r="W16" s="12">
        <v>469</v>
      </c>
      <c r="X16" s="12">
        <v>494</v>
      </c>
      <c r="AA16" s="12" t="s">
        <v>87</v>
      </c>
      <c r="AB16" s="12">
        <v>11553.93</v>
      </c>
      <c r="AC16" s="12">
        <v>6344</v>
      </c>
      <c r="AD16" s="12">
        <v>6777</v>
      </c>
      <c r="AE16" s="12">
        <v>6791</v>
      </c>
      <c r="AF16" s="12">
        <v>8657</v>
      </c>
      <c r="AG16" s="12">
        <v>6385</v>
      </c>
      <c r="AH16" s="12">
        <v>6951</v>
      </c>
      <c r="AI16" s="12">
        <v>10396</v>
      </c>
      <c r="AJ16" s="12">
        <v>9843</v>
      </c>
      <c r="AK16" s="12">
        <v>12247</v>
      </c>
    </row>
    <row r="17" spans="1:37" x14ac:dyDescent="0.35">
      <c r="A17" s="12" t="s">
        <v>15</v>
      </c>
      <c r="B17" s="22">
        <v>46559.93</v>
      </c>
      <c r="C17" s="22">
        <v>50266</v>
      </c>
      <c r="D17" s="22">
        <v>49568</v>
      </c>
      <c r="E17" s="22">
        <v>51772</v>
      </c>
      <c r="F17" s="22">
        <v>50542</v>
      </c>
      <c r="G17" s="22">
        <v>51942</v>
      </c>
      <c r="H17" s="22">
        <v>71646</v>
      </c>
      <c r="I17" s="22">
        <v>75056</v>
      </c>
      <c r="J17" s="22">
        <v>79586</v>
      </c>
      <c r="K17" s="22">
        <v>78509</v>
      </c>
      <c r="N17" s="12" t="s">
        <v>49</v>
      </c>
      <c r="O17" s="22">
        <v>6923.88</v>
      </c>
      <c r="P17" s="22">
        <v>1081</v>
      </c>
      <c r="Q17" s="22">
        <v>1527</v>
      </c>
      <c r="R17" s="22">
        <v>1582</v>
      </c>
      <c r="S17" s="22">
        <v>3509</v>
      </c>
      <c r="T17" s="22">
        <v>1790</v>
      </c>
      <c r="U17" s="22">
        <v>2821</v>
      </c>
      <c r="V17" s="22">
        <v>3598</v>
      </c>
      <c r="W17" s="22">
        <v>4759</v>
      </c>
      <c r="X17" s="22">
        <v>7334</v>
      </c>
      <c r="AA17" s="12" t="s">
        <v>88</v>
      </c>
      <c r="AB17" s="12">
        <v>6314.66</v>
      </c>
      <c r="AC17" s="12">
        <v>11475</v>
      </c>
      <c r="AD17" s="12">
        <v>13852</v>
      </c>
      <c r="AE17" s="12">
        <v>18498</v>
      </c>
      <c r="AF17" s="12">
        <v>12949</v>
      </c>
      <c r="AG17" s="12">
        <v>18581</v>
      </c>
      <c r="AH17" s="12">
        <v>31666</v>
      </c>
      <c r="AI17" s="12">
        <v>17364</v>
      </c>
      <c r="AJ17" s="12">
        <v>21945</v>
      </c>
      <c r="AK17" s="12">
        <v>18790</v>
      </c>
    </row>
    <row r="18" spans="1:37" x14ac:dyDescent="0.35">
      <c r="A18" s="12" t="s">
        <v>16</v>
      </c>
      <c r="B18" s="22">
        <v>6439.32</v>
      </c>
      <c r="C18" s="22">
        <v>3027</v>
      </c>
      <c r="D18" s="22">
        <v>3392</v>
      </c>
      <c r="E18" s="22">
        <v>10443</v>
      </c>
      <c r="F18" s="22">
        <v>24141</v>
      </c>
      <c r="G18" s="22">
        <v>29042</v>
      </c>
      <c r="H18" s="22">
        <v>12599</v>
      </c>
      <c r="I18" s="22">
        <v>10506</v>
      </c>
      <c r="J18" s="22">
        <v>10856</v>
      </c>
      <c r="K18" s="22">
        <v>10915</v>
      </c>
      <c r="N18" s="12" t="s">
        <v>51</v>
      </c>
      <c r="O18" s="22">
        <v>35114.959999999999</v>
      </c>
      <c r="P18" s="22">
        <v>42136</v>
      </c>
      <c r="Q18" s="22">
        <v>52545</v>
      </c>
      <c r="R18" s="22">
        <v>58855</v>
      </c>
      <c r="S18" s="22">
        <v>53081</v>
      </c>
      <c r="T18" s="22">
        <v>52726</v>
      </c>
      <c r="U18" s="22">
        <v>90786</v>
      </c>
      <c r="V18" s="22">
        <v>116906</v>
      </c>
      <c r="W18" s="22">
        <v>116604</v>
      </c>
      <c r="X18" s="22">
        <v>112612</v>
      </c>
      <c r="AA18" s="12" t="s">
        <v>89</v>
      </c>
      <c r="AB18" s="12">
        <v>-483.88</v>
      </c>
      <c r="AC18" s="12">
        <v>-1437</v>
      </c>
      <c r="AD18" s="12">
        <v>-661</v>
      </c>
      <c r="AE18" s="12">
        <v>-2061</v>
      </c>
      <c r="AF18" s="12">
        <v>3514</v>
      </c>
      <c r="AG18" s="12">
        <v>-183</v>
      </c>
      <c r="AH18" s="12">
        <v>-2842</v>
      </c>
      <c r="AI18" s="12">
        <v>154</v>
      </c>
      <c r="AJ18" s="12">
        <v>-263</v>
      </c>
      <c r="AK18" s="12">
        <v>818</v>
      </c>
    </row>
    <row r="19" spans="1:37" x14ac:dyDescent="0.35">
      <c r="A19" s="12" t="s">
        <v>17</v>
      </c>
      <c r="B19" s="22">
        <v>4764.03</v>
      </c>
      <c r="C19" s="22">
        <v>5050</v>
      </c>
      <c r="D19" s="22">
        <v>4878</v>
      </c>
      <c r="E19" s="22">
        <v>5397</v>
      </c>
      <c r="F19" s="22">
        <v>5999</v>
      </c>
      <c r="G19" s="22">
        <v>12458</v>
      </c>
      <c r="H19" s="22">
        <v>18028</v>
      </c>
      <c r="I19" s="22">
        <v>24320</v>
      </c>
      <c r="J19" s="22">
        <v>30141</v>
      </c>
      <c r="K19" s="22">
        <v>39339</v>
      </c>
      <c r="N19" s="12" t="s">
        <v>52</v>
      </c>
      <c r="O19" s="12">
        <v>826.7</v>
      </c>
      <c r="P19" s="22">
        <v>11799</v>
      </c>
      <c r="Q19" s="22">
        <v>13720</v>
      </c>
      <c r="R19" s="22">
        <v>18917</v>
      </c>
      <c r="S19" s="22">
        <v>11836</v>
      </c>
      <c r="T19" s="22">
        <v>19542</v>
      </c>
      <c r="U19" s="22">
        <v>33075</v>
      </c>
      <c r="V19" s="22">
        <v>16943</v>
      </c>
      <c r="W19" s="22">
        <v>23645</v>
      </c>
      <c r="X19" s="22">
        <v>18942</v>
      </c>
      <c r="AA19" s="12" t="s">
        <v>90</v>
      </c>
      <c r="AB19" s="12">
        <v>1830.83</v>
      </c>
      <c r="AC19" s="12">
        <v>-2529</v>
      </c>
      <c r="AD19" s="12">
        <v>-812</v>
      </c>
      <c r="AE19" s="12">
        <v>-488</v>
      </c>
      <c r="AF19" s="12">
        <v>1192</v>
      </c>
      <c r="AG19" s="12">
        <v>-1069</v>
      </c>
      <c r="AH19" s="12">
        <v>-10336</v>
      </c>
      <c r="AI19" s="12">
        <v>1511</v>
      </c>
      <c r="AJ19" s="12">
        <v>-2565</v>
      </c>
      <c r="AK19" s="12">
        <v>3144</v>
      </c>
    </row>
    <row r="20" spans="1:37" x14ac:dyDescent="0.35">
      <c r="A20" s="12" t="s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N20" s="12" t="s">
        <v>53</v>
      </c>
      <c r="O20" s="22">
        <v>3218.73</v>
      </c>
      <c r="P20" s="22">
        <v>3643</v>
      </c>
      <c r="Q20" s="22">
        <v>3591</v>
      </c>
      <c r="R20" s="22">
        <v>3789</v>
      </c>
      <c r="S20" s="22">
        <v>4022</v>
      </c>
      <c r="T20" s="22">
        <v>3565</v>
      </c>
      <c r="U20" s="22">
        <v>3849</v>
      </c>
      <c r="V20" s="22">
        <v>5023</v>
      </c>
      <c r="W20" s="22">
        <v>6108</v>
      </c>
      <c r="X20" s="22">
        <v>6486</v>
      </c>
      <c r="AA20" s="12" t="s">
        <v>91</v>
      </c>
      <c r="AB20" s="12">
        <v>0</v>
      </c>
      <c r="AC20" s="12">
        <v>1639</v>
      </c>
      <c r="AD20" s="12">
        <v>2325</v>
      </c>
      <c r="AE20" s="12">
        <v>-744</v>
      </c>
      <c r="AF20" s="12">
        <v>-373</v>
      </c>
      <c r="AG20" s="12">
        <v>-1203</v>
      </c>
      <c r="AH20" s="12">
        <v>12006</v>
      </c>
      <c r="AI20" s="12">
        <v>6166</v>
      </c>
      <c r="AJ20" s="12">
        <v>-5322</v>
      </c>
      <c r="AK20" s="12">
        <v>-3586</v>
      </c>
    </row>
    <row r="21" spans="1:37" x14ac:dyDescent="0.35">
      <c r="A21" s="12" t="s">
        <v>19</v>
      </c>
      <c r="B21" s="22">
        <v>6741.74</v>
      </c>
      <c r="C21" s="22">
        <v>9270</v>
      </c>
      <c r="D21" s="22">
        <v>10082</v>
      </c>
      <c r="E21" s="22">
        <v>10815</v>
      </c>
      <c r="F21" s="22">
        <v>9623</v>
      </c>
      <c r="G21" s="22">
        <v>10692</v>
      </c>
      <c r="H21" s="22">
        <v>21028</v>
      </c>
      <c r="I21" s="22">
        <v>19517</v>
      </c>
      <c r="J21" s="22">
        <v>23234</v>
      </c>
      <c r="K21" s="22">
        <v>19819</v>
      </c>
      <c r="N21" s="12" t="s">
        <v>54</v>
      </c>
      <c r="O21" s="22">
        <v>-2392.0300000000002</v>
      </c>
      <c r="P21" s="22">
        <v>8156</v>
      </c>
      <c r="Q21" s="22">
        <v>10129</v>
      </c>
      <c r="R21" s="22">
        <v>15128</v>
      </c>
      <c r="S21" s="22">
        <v>7814</v>
      </c>
      <c r="T21" s="22">
        <v>15977</v>
      </c>
      <c r="U21" s="22">
        <v>29226</v>
      </c>
      <c r="V21" s="22">
        <v>11920</v>
      </c>
      <c r="W21" s="22">
        <v>17537</v>
      </c>
      <c r="X21" s="22">
        <v>12456</v>
      </c>
      <c r="AA21" s="12" t="s">
        <v>86</v>
      </c>
      <c r="AB21" s="12">
        <v>-1838.24</v>
      </c>
      <c r="AC21" s="12">
        <v>-564</v>
      </c>
      <c r="AD21" s="12">
        <v>-1323</v>
      </c>
      <c r="AE21" s="12">
        <v>2838</v>
      </c>
      <c r="AF21" s="12">
        <v>-2186</v>
      </c>
      <c r="AG21" s="12">
        <v>3267</v>
      </c>
      <c r="AH21" s="12">
        <v>-2507</v>
      </c>
      <c r="AI21" s="12">
        <v>-4285</v>
      </c>
      <c r="AJ21" s="12">
        <v>-5903</v>
      </c>
      <c r="AK21" s="12">
        <v>-574</v>
      </c>
    </row>
    <row r="22" spans="1:37" x14ac:dyDescent="0.35">
      <c r="A22" s="12" t="s">
        <v>20</v>
      </c>
      <c r="B22" s="22">
        <v>2510.71</v>
      </c>
      <c r="C22" s="22">
        <v>3948</v>
      </c>
      <c r="D22" s="22">
        <v>4692</v>
      </c>
      <c r="E22" s="22">
        <v>6770</v>
      </c>
      <c r="F22" s="22">
        <v>3166</v>
      </c>
      <c r="G22" s="22">
        <v>3333</v>
      </c>
      <c r="H22" s="22">
        <v>6146</v>
      </c>
      <c r="I22" s="22">
        <v>6000</v>
      </c>
      <c r="J22" s="22">
        <v>6498</v>
      </c>
      <c r="K22" s="22">
        <v>5672</v>
      </c>
      <c r="N22" s="12" t="s">
        <v>55</v>
      </c>
      <c r="O22" s="22">
        <v>2847.24</v>
      </c>
      <c r="P22" s="22">
        <v>3025</v>
      </c>
      <c r="Q22" s="22">
        <v>3054</v>
      </c>
      <c r="R22" s="22">
        <v>3421</v>
      </c>
      <c r="S22" s="22">
        <v>3522</v>
      </c>
      <c r="T22" s="22">
        <v>3781</v>
      </c>
      <c r="U22" s="22">
        <v>4511</v>
      </c>
      <c r="V22" s="22">
        <v>4952</v>
      </c>
      <c r="W22" s="22">
        <v>5435</v>
      </c>
      <c r="X22" s="22">
        <v>5913</v>
      </c>
      <c r="AA22" s="12" t="s">
        <v>92</v>
      </c>
      <c r="AB22" s="12">
        <v>-491.29</v>
      </c>
      <c r="AC22" s="12">
        <v>-2891</v>
      </c>
      <c r="AD22" s="12">
        <v>-471</v>
      </c>
      <c r="AE22" s="12">
        <v>-455</v>
      </c>
      <c r="AF22" s="12">
        <v>2147</v>
      </c>
      <c r="AG22" s="12">
        <v>812</v>
      </c>
      <c r="AH22" s="12">
        <v>-3679</v>
      </c>
      <c r="AI22" s="12">
        <v>3546</v>
      </c>
      <c r="AJ22" s="12">
        <v>-14053</v>
      </c>
      <c r="AK22" s="12">
        <v>-198</v>
      </c>
    </row>
    <row r="23" spans="1:37" x14ac:dyDescent="0.35">
      <c r="A23" s="12" t="s">
        <v>21</v>
      </c>
      <c r="B23" s="12">
        <v>598.54</v>
      </c>
      <c r="C23" s="22">
        <v>1027</v>
      </c>
      <c r="D23" s="12">
        <v>601</v>
      </c>
      <c r="E23" s="22">
        <v>5813</v>
      </c>
      <c r="F23" s="22">
        <v>11401</v>
      </c>
      <c r="G23" s="22">
        <v>11746</v>
      </c>
      <c r="H23" s="22">
        <v>15527</v>
      </c>
      <c r="I23" s="22">
        <v>18716</v>
      </c>
      <c r="J23" s="22">
        <v>8129</v>
      </c>
      <c r="K23" s="22">
        <v>10261</v>
      </c>
      <c r="N23" s="12" t="s">
        <v>56</v>
      </c>
      <c r="O23" s="22">
        <v>-5239.2700000000004</v>
      </c>
      <c r="P23" s="22">
        <v>5131</v>
      </c>
      <c r="Q23" s="22">
        <v>7075</v>
      </c>
      <c r="R23" s="22">
        <v>11707</v>
      </c>
      <c r="S23" s="22">
        <v>4292</v>
      </c>
      <c r="T23" s="22">
        <v>12196</v>
      </c>
      <c r="U23" s="22">
        <v>24715</v>
      </c>
      <c r="V23" s="22">
        <v>6968</v>
      </c>
      <c r="W23" s="22">
        <v>12102</v>
      </c>
      <c r="X23" s="22">
        <v>6543</v>
      </c>
      <c r="AA23" s="12" t="s">
        <v>93</v>
      </c>
      <c r="AB23" s="12">
        <v>5823.37</v>
      </c>
      <c r="AC23" s="12">
        <v>8584</v>
      </c>
      <c r="AD23" s="12">
        <v>13381</v>
      </c>
      <c r="AE23" s="12">
        <v>18043</v>
      </c>
      <c r="AF23" s="12">
        <v>15096</v>
      </c>
      <c r="AG23" s="12">
        <v>19393</v>
      </c>
      <c r="AH23" s="12">
        <v>27987</v>
      </c>
      <c r="AI23" s="12">
        <v>20910</v>
      </c>
      <c r="AJ23" s="12">
        <v>7892</v>
      </c>
      <c r="AK23" s="12">
        <v>18592</v>
      </c>
    </row>
    <row r="24" spans="1:37" x14ac:dyDescent="0.35">
      <c r="A24" s="12" t="s">
        <v>22</v>
      </c>
      <c r="B24" s="22">
        <v>3612.6</v>
      </c>
      <c r="C24" s="22">
        <v>3253</v>
      </c>
      <c r="D24" s="22">
        <v>3878</v>
      </c>
      <c r="E24" s="22">
        <v>5000</v>
      </c>
      <c r="F24" s="22">
        <v>5185</v>
      </c>
      <c r="G24" s="22">
        <v>3932</v>
      </c>
      <c r="H24" s="22">
        <v>4784</v>
      </c>
      <c r="I24" s="22">
        <v>4911</v>
      </c>
      <c r="J24" s="22">
        <v>5233</v>
      </c>
      <c r="K24" s="22">
        <v>4776</v>
      </c>
      <c r="N24" s="12" t="s">
        <v>57</v>
      </c>
      <c r="O24" s="12">
        <v>6.71</v>
      </c>
      <c r="P24" s="12">
        <v>-53</v>
      </c>
      <c r="Q24" s="22">
        <v>1578</v>
      </c>
      <c r="R24" s="22">
        <v>2356</v>
      </c>
      <c r="S24" s="12">
        <v>789</v>
      </c>
      <c r="T24" s="22">
        <v>2162</v>
      </c>
      <c r="U24" s="22">
        <v>4411</v>
      </c>
      <c r="V24" s="22">
        <v>1218</v>
      </c>
      <c r="W24" s="22">
        <v>3453</v>
      </c>
      <c r="X24" s="22">
        <v>1511</v>
      </c>
      <c r="AA24" s="12" t="s">
        <v>94</v>
      </c>
      <c r="AB24" s="12">
        <v>-153.87</v>
      </c>
      <c r="AC24" s="12">
        <v>-23</v>
      </c>
      <c r="AD24" s="12">
        <v>-1207</v>
      </c>
      <c r="AE24" s="12">
        <v>-2465</v>
      </c>
      <c r="AF24" s="12">
        <v>-986</v>
      </c>
      <c r="AG24" s="12">
        <v>-1660</v>
      </c>
      <c r="AH24" s="12">
        <v>-4652</v>
      </c>
      <c r="AI24" s="12">
        <v>-466</v>
      </c>
      <c r="AJ24" s="12">
        <v>-2443</v>
      </c>
      <c r="AK24" s="12">
        <v>-1701</v>
      </c>
    </row>
    <row r="25" spans="1:37" x14ac:dyDescent="0.35">
      <c r="A25" s="12" t="s">
        <v>23</v>
      </c>
      <c r="B25" s="22">
        <v>13463.59</v>
      </c>
      <c r="C25" s="22">
        <v>17498</v>
      </c>
      <c r="D25" s="22">
        <v>19253</v>
      </c>
      <c r="E25" s="22">
        <v>28398</v>
      </c>
      <c r="F25" s="22">
        <v>29375</v>
      </c>
      <c r="G25" s="22">
        <v>29703</v>
      </c>
      <c r="H25" s="22">
        <v>47485</v>
      </c>
      <c r="I25" s="22">
        <v>49144</v>
      </c>
      <c r="J25" s="22">
        <v>43094</v>
      </c>
      <c r="K25" s="22">
        <v>40528</v>
      </c>
      <c r="N25" s="12" t="s">
        <v>58</v>
      </c>
      <c r="O25" s="22">
        <v>-1716.31</v>
      </c>
      <c r="P25" s="22">
        <v>1607</v>
      </c>
      <c r="Q25" s="12">
        <v>872</v>
      </c>
      <c r="R25" s="22">
        <v>1230</v>
      </c>
      <c r="S25" s="22">
        <v>-1788</v>
      </c>
      <c r="T25" s="22">
        <v>1641</v>
      </c>
      <c r="U25" s="22">
        <v>3602</v>
      </c>
      <c r="V25" s="12">
        <v>813</v>
      </c>
      <c r="W25" s="12">
        <v>608</v>
      </c>
      <c r="X25" s="12">
        <v>-805</v>
      </c>
      <c r="AA25" s="12" t="s">
        <v>95</v>
      </c>
      <c r="AB25" s="12">
        <v>-153.87</v>
      </c>
      <c r="AC25" s="12">
        <v>-23</v>
      </c>
      <c r="AD25" s="12">
        <v>-1207</v>
      </c>
      <c r="AE25" s="12">
        <v>-2465</v>
      </c>
      <c r="AF25" s="12">
        <v>-986</v>
      </c>
      <c r="AG25" s="12">
        <v>-1660</v>
      </c>
      <c r="AH25" s="12">
        <v>-4652</v>
      </c>
      <c r="AI25" s="12">
        <v>-466</v>
      </c>
      <c r="AJ25" s="12">
        <v>-2443</v>
      </c>
      <c r="AK25" s="12">
        <v>-1701</v>
      </c>
    </row>
    <row r="26" spans="1:37" x14ac:dyDescent="0.35">
      <c r="A26" s="12" t="s">
        <v>24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N26" s="12" t="s">
        <v>59</v>
      </c>
      <c r="O26" s="22">
        <v>-3529.67</v>
      </c>
      <c r="P26" s="22">
        <v>3577</v>
      </c>
      <c r="Q26" s="22">
        <v>4625</v>
      </c>
      <c r="R26" s="22">
        <v>8121</v>
      </c>
      <c r="S26" s="22">
        <v>5291</v>
      </c>
      <c r="T26" s="22">
        <v>8393</v>
      </c>
      <c r="U26" s="22">
        <v>16702</v>
      </c>
      <c r="V26" s="22">
        <v>4937</v>
      </c>
      <c r="W26" s="22">
        <v>8041</v>
      </c>
      <c r="X26" s="22">
        <v>5837</v>
      </c>
      <c r="AA26" s="12" t="s">
        <v>96</v>
      </c>
      <c r="AB26" s="12">
        <v>5669.5</v>
      </c>
      <c r="AC26" s="12">
        <v>8561</v>
      </c>
      <c r="AD26" s="12">
        <v>12174</v>
      </c>
      <c r="AE26" s="12">
        <v>15578</v>
      </c>
      <c r="AF26" s="12">
        <v>14110</v>
      </c>
      <c r="AG26" s="12">
        <v>17733</v>
      </c>
      <c r="AH26" s="12">
        <v>23335</v>
      </c>
      <c r="AI26" s="12">
        <v>20444</v>
      </c>
      <c r="AJ26" s="12">
        <v>5449</v>
      </c>
      <c r="AK26" s="12">
        <v>16891</v>
      </c>
    </row>
    <row r="27" spans="1:37" x14ac:dyDescent="0.35">
      <c r="A27" s="12" t="s">
        <v>25</v>
      </c>
      <c r="B27" s="22">
        <v>16180.33</v>
      </c>
      <c r="C27" s="22">
        <v>16047</v>
      </c>
      <c r="D27" s="22">
        <v>18112</v>
      </c>
      <c r="E27" s="22">
        <v>19901</v>
      </c>
      <c r="F27" s="22">
        <v>22664</v>
      </c>
      <c r="G27" s="22">
        <v>27078</v>
      </c>
      <c r="H27" s="22">
        <v>35279</v>
      </c>
      <c r="I27" s="22">
        <v>40532</v>
      </c>
      <c r="J27" s="22">
        <v>36767</v>
      </c>
      <c r="K27" s="22">
        <v>33194</v>
      </c>
      <c r="N27" s="12" t="s">
        <v>60</v>
      </c>
      <c r="O27" s="22">
        <v>-5851.41</v>
      </c>
      <c r="P27" s="22">
        <v>1479</v>
      </c>
      <c r="Q27" s="12">
        <v>-243.18</v>
      </c>
      <c r="R27" s="12">
        <v>3.47</v>
      </c>
      <c r="S27" s="22">
        <v>-1088.77</v>
      </c>
      <c r="T27" s="12">
        <v>-282.14999999999998</v>
      </c>
      <c r="U27" s="12">
        <v>-529.14</v>
      </c>
      <c r="V27" s="12">
        <v>-43.22</v>
      </c>
      <c r="W27" s="12">
        <v>-89.96</v>
      </c>
      <c r="X27" s="22">
        <v>-1060.95</v>
      </c>
      <c r="AA27" s="12" t="s">
        <v>97</v>
      </c>
      <c r="AB27" s="22">
        <v>-5032.7700000000004</v>
      </c>
      <c r="AC27" s="22">
        <v>-6284</v>
      </c>
      <c r="AD27" s="22">
        <v>-6134</v>
      </c>
      <c r="AE27" s="22">
        <v>-11432</v>
      </c>
      <c r="AF27" s="22">
        <v>-19092</v>
      </c>
      <c r="AG27" s="22">
        <v>-2609</v>
      </c>
      <c r="AH27" s="22">
        <v>-17652</v>
      </c>
      <c r="AI27" s="22">
        <v>-7361</v>
      </c>
      <c r="AJ27" s="22">
        <v>-8687</v>
      </c>
      <c r="AK27" s="22">
        <v>-9979</v>
      </c>
    </row>
    <row r="28" spans="1:37" x14ac:dyDescent="0.35">
      <c r="A28" s="12" t="s">
        <v>26</v>
      </c>
      <c r="B28" s="12">
        <v>105.67</v>
      </c>
      <c r="C28" s="12">
        <v>166</v>
      </c>
      <c r="D28" s="12">
        <v>463</v>
      </c>
      <c r="E28" s="12">
        <v>246</v>
      </c>
      <c r="F28" s="12">
        <v>183</v>
      </c>
      <c r="G28" s="12">
        <v>780</v>
      </c>
      <c r="H28" s="12">
        <v>612</v>
      </c>
      <c r="I28" s="22">
        <v>1529</v>
      </c>
      <c r="J28" s="12">
        <v>722</v>
      </c>
      <c r="K28" s="12">
        <v>391</v>
      </c>
      <c r="N28" s="12" t="s">
        <v>61</v>
      </c>
      <c r="O28" s="22">
        <v>2321.7399999999998</v>
      </c>
      <c r="P28" s="22">
        <v>2098</v>
      </c>
      <c r="Q28" s="22">
        <v>4868.18</v>
      </c>
      <c r="R28" s="22">
        <v>8117.53</v>
      </c>
      <c r="S28" s="22">
        <v>6379.77</v>
      </c>
      <c r="T28" s="22">
        <v>8675.15</v>
      </c>
      <c r="U28" s="22">
        <v>17231.14</v>
      </c>
      <c r="V28" s="22">
        <v>4980.22</v>
      </c>
      <c r="W28" s="22">
        <v>8130.96</v>
      </c>
      <c r="X28" s="22">
        <v>6897.95</v>
      </c>
      <c r="AA28" s="12" t="s">
        <v>98</v>
      </c>
      <c r="AB28" s="12">
        <v>-3906.77</v>
      </c>
      <c r="AC28" s="12">
        <v>-3952</v>
      </c>
      <c r="AD28" s="12">
        <v>-3776</v>
      </c>
      <c r="AE28" s="12">
        <v>-8333</v>
      </c>
      <c r="AF28" s="12">
        <v>-10740</v>
      </c>
      <c r="AG28" s="12">
        <v>-6715</v>
      </c>
      <c r="AH28" s="12">
        <v>-7462</v>
      </c>
      <c r="AI28" s="12">
        <v>-6266</v>
      </c>
      <c r="AJ28" s="12">
        <v>-5244</v>
      </c>
      <c r="AK28" s="12">
        <v>-6654</v>
      </c>
    </row>
    <row r="29" spans="1:37" x14ac:dyDescent="0.35">
      <c r="A29" s="12" t="s">
        <v>27</v>
      </c>
      <c r="B29" s="22">
        <v>16286</v>
      </c>
      <c r="C29" s="22">
        <v>16213</v>
      </c>
      <c r="D29" s="22">
        <v>18575</v>
      </c>
      <c r="E29" s="22">
        <v>20147</v>
      </c>
      <c r="F29" s="22">
        <v>22847</v>
      </c>
      <c r="G29" s="22">
        <v>27858</v>
      </c>
      <c r="H29" s="22">
        <v>35891</v>
      </c>
      <c r="I29" s="22">
        <v>42061</v>
      </c>
      <c r="J29" s="22">
        <v>37489</v>
      </c>
      <c r="K29" s="22">
        <v>33585</v>
      </c>
      <c r="N29" s="12" t="s">
        <v>62</v>
      </c>
      <c r="O29" s="12">
        <v>-1.72</v>
      </c>
      <c r="P29" s="12">
        <v>-11</v>
      </c>
      <c r="Q29" s="12">
        <v>-28</v>
      </c>
      <c r="R29" s="12">
        <v>-159</v>
      </c>
      <c r="S29" s="12">
        <v>-3</v>
      </c>
      <c r="T29" s="12">
        <v>59</v>
      </c>
      <c r="U29" s="12">
        <v>-564</v>
      </c>
      <c r="V29" s="12">
        <v>66</v>
      </c>
      <c r="W29" s="12">
        <v>10</v>
      </c>
      <c r="X29" s="12">
        <v>-36</v>
      </c>
      <c r="AA29" s="12" t="s">
        <v>99</v>
      </c>
      <c r="AB29" s="12">
        <v>1.6</v>
      </c>
      <c r="AC29" s="12">
        <v>25</v>
      </c>
      <c r="AD29" s="12">
        <v>7</v>
      </c>
      <c r="AE29" s="12">
        <v>31</v>
      </c>
      <c r="AF29" s="12">
        <v>41</v>
      </c>
      <c r="AG29" s="12">
        <v>13</v>
      </c>
      <c r="AH29" s="12">
        <v>33</v>
      </c>
      <c r="AI29" s="12">
        <v>11</v>
      </c>
      <c r="AJ29" s="12">
        <v>34</v>
      </c>
      <c r="AK29" s="12">
        <v>2239</v>
      </c>
    </row>
    <row r="30" spans="1:37" x14ac:dyDescent="0.35">
      <c r="A30" s="12" t="s">
        <v>28</v>
      </c>
      <c r="B30" s="22">
        <v>-2822.41</v>
      </c>
      <c r="C30" s="22">
        <v>1285</v>
      </c>
      <c r="D30" s="12">
        <v>678</v>
      </c>
      <c r="E30" s="22">
        <v>8251</v>
      </c>
      <c r="F30" s="22">
        <v>6528</v>
      </c>
      <c r="G30" s="22">
        <v>1845</v>
      </c>
      <c r="H30" s="22">
        <v>11594</v>
      </c>
      <c r="I30" s="22">
        <v>7083</v>
      </c>
      <c r="J30" s="22">
        <v>5605</v>
      </c>
      <c r="K30" s="22">
        <v>6943</v>
      </c>
      <c r="N30" s="12" t="s">
        <v>63</v>
      </c>
      <c r="O30" s="22">
        <v>4092.75</v>
      </c>
      <c r="P30" s="12">
        <v>-11</v>
      </c>
      <c r="Q30" s="22">
        <v>3337</v>
      </c>
      <c r="R30" s="22">
        <v>6638</v>
      </c>
      <c r="S30" s="22">
        <v>13611</v>
      </c>
      <c r="T30" s="22">
        <v>17709</v>
      </c>
      <c r="U30" s="22">
        <v>25678</v>
      </c>
      <c r="V30" s="22">
        <v>40245</v>
      </c>
      <c r="W30" s="22">
        <v>41054</v>
      </c>
      <c r="X30" s="22">
        <v>48473</v>
      </c>
      <c r="AA30" s="12" t="s">
        <v>100</v>
      </c>
      <c r="AB30" s="12">
        <v>0</v>
      </c>
      <c r="AC30" s="12">
        <v>-2784</v>
      </c>
      <c r="AD30" s="12">
        <v>-7804</v>
      </c>
      <c r="AE30" s="12">
        <v>-8340</v>
      </c>
      <c r="AF30" s="12">
        <v>-762</v>
      </c>
      <c r="AG30" s="12">
        <v>-600</v>
      </c>
      <c r="AH30" s="12">
        <v>-4140</v>
      </c>
      <c r="AI30" s="12">
        <v>0</v>
      </c>
      <c r="AJ30" s="12">
        <v>-3584</v>
      </c>
      <c r="AK30" s="12">
        <v>-12049</v>
      </c>
    </row>
    <row r="31" spans="1:37" x14ac:dyDescent="0.35">
      <c r="A31" s="12" t="s">
        <v>29</v>
      </c>
      <c r="B31" s="22">
        <v>2635.92</v>
      </c>
      <c r="C31" s="22">
        <v>8185</v>
      </c>
      <c r="D31" s="22">
        <v>7538</v>
      </c>
      <c r="E31" s="22">
        <v>6922</v>
      </c>
      <c r="F31" s="12">
        <v>0</v>
      </c>
      <c r="G31" s="12">
        <v>0</v>
      </c>
      <c r="H31" s="22">
        <v>3303</v>
      </c>
      <c r="I31" s="22">
        <v>3054</v>
      </c>
      <c r="J31" s="22">
        <v>1930</v>
      </c>
      <c r="K31" s="22">
        <v>2751</v>
      </c>
      <c r="N31" s="12" t="s">
        <v>64</v>
      </c>
      <c r="O31" s="12">
        <v>568.33000000000004</v>
      </c>
      <c r="P31" s="12">
        <v>218</v>
      </c>
      <c r="Q31" s="12">
        <v>363</v>
      </c>
      <c r="R31" s="12">
        <v>989</v>
      </c>
      <c r="S31" s="22">
        <v>1190</v>
      </c>
      <c r="T31" s="12">
        <v>483</v>
      </c>
      <c r="U31" s="22">
        <v>1571</v>
      </c>
      <c r="V31" s="22">
        <v>4194</v>
      </c>
      <c r="W31" s="12">
        <v>632</v>
      </c>
      <c r="X31" s="22">
        <v>1785</v>
      </c>
      <c r="AA31" s="12" t="s">
        <v>101</v>
      </c>
      <c r="AB31" s="12">
        <v>2.95</v>
      </c>
      <c r="AC31" s="12">
        <v>2490</v>
      </c>
      <c r="AD31" s="12">
        <v>8120</v>
      </c>
      <c r="AE31" s="12">
        <v>8503</v>
      </c>
      <c r="AF31" s="12">
        <v>765</v>
      </c>
      <c r="AG31" s="12">
        <v>606</v>
      </c>
      <c r="AH31" s="12">
        <v>4151</v>
      </c>
      <c r="AI31" s="12">
        <v>0</v>
      </c>
      <c r="AJ31" s="12">
        <v>3632</v>
      </c>
      <c r="AK31" s="12">
        <v>6273</v>
      </c>
    </row>
    <row r="32" spans="1:37" x14ac:dyDescent="0.35">
      <c r="A32" s="12" t="s">
        <v>30</v>
      </c>
      <c r="B32" s="22">
        <v>2156.38</v>
      </c>
      <c r="C32" s="22">
        <v>9514</v>
      </c>
      <c r="D32" s="22">
        <v>9609</v>
      </c>
      <c r="E32" s="22">
        <v>10253</v>
      </c>
      <c r="F32" s="22">
        <v>1315</v>
      </c>
      <c r="G32" s="22">
        <v>3095</v>
      </c>
      <c r="H32" s="22">
        <v>10238</v>
      </c>
      <c r="I32" s="22">
        <v>10514</v>
      </c>
      <c r="J32" s="22">
        <v>11250</v>
      </c>
      <c r="K32" s="22">
        <v>11279</v>
      </c>
      <c r="N32" s="12" t="s">
        <v>65</v>
      </c>
      <c r="O32" s="12">
        <v>-6.97</v>
      </c>
      <c r="P32" s="22">
        <v>3337</v>
      </c>
      <c r="Q32" s="22">
        <v>7571</v>
      </c>
      <c r="R32" s="22">
        <v>13611</v>
      </c>
      <c r="S32" s="22">
        <v>17709</v>
      </c>
      <c r="T32" s="22">
        <v>25678</v>
      </c>
      <c r="U32" s="22">
        <v>40245</v>
      </c>
      <c r="V32" s="22">
        <v>41054</v>
      </c>
      <c r="W32" s="22">
        <v>48473</v>
      </c>
      <c r="X32" s="22">
        <v>52489</v>
      </c>
      <c r="AA32" s="12" t="s">
        <v>102</v>
      </c>
      <c r="AB32" s="12">
        <v>59.25</v>
      </c>
      <c r="AC32" s="12">
        <v>121</v>
      </c>
      <c r="AD32" s="12">
        <v>178</v>
      </c>
      <c r="AE32" s="12">
        <v>189</v>
      </c>
      <c r="AF32" s="12">
        <v>423</v>
      </c>
      <c r="AG32" s="12">
        <v>532</v>
      </c>
      <c r="AH32" s="12">
        <v>1009</v>
      </c>
      <c r="AI32" s="12">
        <v>1016</v>
      </c>
      <c r="AJ32" s="12">
        <v>1030</v>
      </c>
      <c r="AK32" s="12">
        <v>1194</v>
      </c>
    </row>
    <row r="33" spans="1:37" x14ac:dyDescent="0.35">
      <c r="A33" s="12" t="s">
        <v>31</v>
      </c>
      <c r="B33" s="12">
        <v>479.54</v>
      </c>
      <c r="C33" s="22">
        <v>-1329</v>
      </c>
      <c r="D33" s="22">
        <v>-2071</v>
      </c>
      <c r="E33" s="22">
        <v>-3331</v>
      </c>
      <c r="F33" s="22">
        <v>-1315</v>
      </c>
      <c r="G33" s="22">
        <v>-3095</v>
      </c>
      <c r="H33" s="22">
        <v>-6935</v>
      </c>
      <c r="I33" s="22">
        <v>-7460</v>
      </c>
      <c r="J33" s="22">
        <v>-9320</v>
      </c>
      <c r="K33" s="22">
        <v>-8528</v>
      </c>
      <c r="N33" s="12" t="s">
        <v>67</v>
      </c>
      <c r="O33" s="12">
        <v>75</v>
      </c>
      <c r="P33" s="12">
        <v>225</v>
      </c>
      <c r="Q33" s="12">
        <v>320</v>
      </c>
      <c r="R33" s="12">
        <v>410</v>
      </c>
      <c r="S33" s="12">
        <v>200</v>
      </c>
      <c r="T33" s="12">
        <v>650</v>
      </c>
      <c r="U33" s="22">
        <v>1735</v>
      </c>
      <c r="V33" s="12">
        <v>340</v>
      </c>
      <c r="W33" s="12">
        <v>730</v>
      </c>
      <c r="X33" s="12">
        <v>280</v>
      </c>
      <c r="AA33" s="12" t="s">
        <v>81</v>
      </c>
      <c r="AB33" s="12">
        <v>18.29</v>
      </c>
      <c r="AC33" s="12">
        <v>18</v>
      </c>
      <c r="AD33" s="12">
        <v>5</v>
      </c>
      <c r="AE33" s="12">
        <v>124</v>
      </c>
      <c r="AF33" s="12">
        <v>31</v>
      </c>
      <c r="AG33" s="12">
        <v>9</v>
      </c>
      <c r="AH33" s="12">
        <v>17</v>
      </c>
      <c r="AI33" s="12">
        <v>152</v>
      </c>
      <c r="AJ33" s="12">
        <v>17</v>
      </c>
      <c r="AK33" s="12">
        <v>107</v>
      </c>
    </row>
    <row r="34" spans="1:37" x14ac:dyDescent="0.35">
      <c r="A34" s="12" t="s">
        <v>32</v>
      </c>
      <c r="B34" s="22">
        <v>1801.34</v>
      </c>
      <c r="C34" s="22">
        <v>5118</v>
      </c>
      <c r="D34" s="22">
        <v>8460</v>
      </c>
      <c r="E34" s="22">
        <v>11415</v>
      </c>
      <c r="F34" s="22">
        <v>11985</v>
      </c>
      <c r="G34" s="22">
        <v>10087</v>
      </c>
      <c r="H34" s="22">
        <v>13112</v>
      </c>
      <c r="I34" s="22">
        <v>13815</v>
      </c>
      <c r="J34" s="22">
        <v>21761</v>
      </c>
      <c r="K34" s="22">
        <v>22970</v>
      </c>
      <c r="N34" s="12" t="s">
        <v>68</v>
      </c>
      <c r="O34" s="12">
        <v>7.5</v>
      </c>
      <c r="P34" s="12">
        <v>2.25</v>
      </c>
      <c r="Q34" s="12">
        <v>3.2</v>
      </c>
      <c r="R34" s="12">
        <v>4.0999999999999996</v>
      </c>
      <c r="S34" s="12">
        <v>2</v>
      </c>
      <c r="T34" s="12">
        <v>6.5</v>
      </c>
      <c r="U34" s="12">
        <v>17.350000000000001</v>
      </c>
      <c r="V34" s="12">
        <v>3.4</v>
      </c>
      <c r="W34" s="12">
        <v>7.3</v>
      </c>
      <c r="X34" s="12">
        <v>2.8</v>
      </c>
      <c r="AA34" s="12" t="s">
        <v>104</v>
      </c>
      <c r="AB34" s="12">
        <v>0</v>
      </c>
      <c r="AC34" s="12">
        <v>-524</v>
      </c>
      <c r="AD34" s="12">
        <v>-175</v>
      </c>
      <c r="AE34" s="12">
        <v>-981</v>
      </c>
      <c r="AF34" s="12">
        <v>-939</v>
      </c>
      <c r="AG34" s="12">
        <v>-5785</v>
      </c>
      <c r="AH34" s="12">
        <v>-2612</v>
      </c>
      <c r="AI34" s="12">
        <v>-6728</v>
      </c>
      <c r="AJ34" s="12">
        <v>0</v>
      </c>
      <c r="AK34" s="12">
        <v>0</v>
      </c>
    </row>
    <row r="35" spans="1:37" x14ac:dyDescent="0.35">
      <c r="A35" s="12" t="s">
        <v>33</v>
      </c>
      <c r="B35" s="22">
        <v>57221.75</v>
      </c>
      <c r="C35" s="22">
        <v>63417</v>
      </c>
      <c r="D35" s="22">
        <v>64905</v>
      </c>
      <c r="E35" s="22">
        <v>83947</v>
      </c>
      <c r="F35" s="22">
        <v>97880</v>
      </c>
      <c r="G35" s="22">
        <v>102279</v>
      </c>
      <c r="H35" s="22">
        <v>120044</v>
      </c>
      <c r="I35" s="22">
        <v>123320</v>
      </c>
      <c r="J35" s="22">
        <v>138629</v>
      </c>
      <c r="K35" s="22">
        <v>150148</v>
      </c>
      <c r="N35" s="12" t="s">
        <v>69</v>
      </c>
      <c r="O35" s="12">
        <v>0</v>
      </c>
      <c r="P35" s="12">
        <v>11.88</v>
      </c>
      <c r="Q35" s="12">
        <v>15.31</v>
      </c>
      <c r="R35" s="12">
        <v>26.98</v>
      </c>
      <c r="S35" s="12">
        <v>17.579999999999998</v>
      </c>
      <c r="T35" s="12">
        <v>27.79</v>
      </c>
      <c r="U35" s="12">
        <v>55.49</v>
      </c>
      <c r="V35" s="12">
        <v>16.399999999999999</v>
      </c>
      <c r="W35" s="12">
        <v>26.36</v>
      </c>
      <c r="X35" s="12">
        <v>19.14</v>
      </c>
      <c r="AA35" s="12" t="s">
        <v>86</v>
      </c>
      <c r="AB35" s="12">
        <v>75.37</v>
      </c>
      <c r="AC35" s="12">
        <v>-1678</v>
      </c>
      <c r="AD35" s="12">
        <v>-2689</v>
      </c>
      <c r="AE35" s="12">
        <v>-2625</v>
      </c>
      <c r="AF35" s="12">
        <v>-7911</v>
      </c>
      <c r="AG35" s="12">
        <v>9331</v>
      </c>
      <c r="AH35" s="12">
        <v>-8648</v>
      </c>
      <c r="AI35" s="12">
        <v>4454</v>
      </c>
      <c r="AJ35" s="12">
        <v>-961</v>
      </c>
      <c r="AK35" s="12">
        <v>761</v>
      </c>
    </row>
    <row r="36" spans="1:37" x14ac:dyDescent="0.35">
      <c r="A36" s="12" t="s">
        <v>34</v>
      </c>
      <c r="B36" s="22">
        <v>5641.89</v>
      </c>
      <c r="C36" s="22">
        <v>3794</v>
      </c>
      <c r="D36" s="22">
        <v>2936</v>
      </c>
      <c r="E36" s="22">
        <v>9018</v>
      </c>
      <c r="F36" s="22">
        <v>3474</v>
      </c>
      <c r="G36" s="22">
        <v>3675</v>
      </c>
      <c r="H36" s="22">
        <v>3899</v>
      </c>
      <c r="I36" s="22">
        <v>4105</v>
      </c>
      <c r="J36" s="22">
        <v>3652</v>
      </c>
      <c r="K36" s="22">
        <v>3149</v>
      </c>
      <c r="N36" s="12" t="s">
        <v>70</v>
      </c>
      <c r="O36" s="12">
        <v>0</v>
      </c>
      <c r="P36" s="12">
        <v>11.88</v>
      </c>
      <c r="Q36" s="12">
        <v>15.31</v>
      </c>
      <c r="R36" s="12">
        <v>26.98</v>
      </c>
      <c r="S36" s="12">
        <v>17.579999999999998</v>
      </c>
      <c r="T36" s="12">
        <v>27.79</v>
      </c>
      <c r="U36" s="12">
        <v>55.49</v>
      </c>
      <c r="V36" s="12">
        <v>16.399999999999999</v>
      </c>
      <c r="W36" s="12">
        <v>26.36</v>
      </c>
      <c r="X36" s="12">
        <v>19.14</v>
      </c>
      <c r="AA36" s="12" t="s">
        <v>105</v>
      </c>
      <c r="AB36" s="12">
        <v>-981.53</v>
      </c>
      <c r="AC36" s="22">
        <v>-2030</v>
      </c>
      <c r="AD36" s="22">
        <v>-6301</v>
      </c>
      <c r="AE36" s="12">
        <v>725</v>
      </c>
      <c r="AF36" s="22">
        <v>3054</v>
      </c>
      <c r="AG36" s="22">
        <v>-7441</v>
      </c>
      <c r="AH36" s="22">
        <v>-9134</v>
      </c>
      <c r="AI36" s="22">
        <v>-7085</v>
      </c>
      <c r="AJ36" s="22">
        <v>-5477</v>
      </c>
      <c r="AK36" s="22">
        <v>-2270</v>
      </c>
    </row>
    <row r="37" spans="1:37" x14ac:dyDescent="0.35">
      <c r="N37" s="12" t="s">
        <v>71</v>
      </c>
      <c r="O37" s="12">
        <v>678.31</v>
      </c>
      <c r="P37" s="12">
        <v>80.06</v>
      </c>
      <c r="Q37" s="12">
        <v>92.41</v>
      </c>
      <c r="R37" s="12">
        <v>115.92</v>
      </c>
      <c r="S37" s="12">
        <v>127.45</v>
      </c>
      <c r="T37" s="12">
        <v>155.55000000000001</v>
      </c>
      <c r="U37" s="12">
        <v>210.97</v>
      </c>
      <c r="V37" s="12">
        <v>211.49</v>
      </c>
      <c r="W37" s="12">
        <v>246.83</v>
      </c>
      <c r="X37" s="12">
        <v>261.77</v>
      </c>
      <c r="AA37" s="12" t="s">
        <v>106</v>
      </c>
      <c r="AB37" s="12">
        <v>0</v>
      </c>
      <c r="AC37" s="12">
        <v>57</v>
      </c>
      <c r="AD37" s="12">
        <v>49</v>
      </c>
      <c r="AE37" s="12">
        <v>0</v>
      </c>
      <c r="AF37" s="12">
        <v>107</v>
      </c>
      <c r="AG37" s="12">
        <v>39</v>
      </c>
      <c r="AH37" s="12">
        <v>72</v>
      </c>
      <c r="AI37" s="12">
        <v>59</v>
      </c>
      <c r="AJ37" s="12">
        <v>6</v>
      </c>
      <c r="AK37" s="12">
        <v>0</v>
      </c>
    </row>
    <row r="38" spans="1:37" x14ac:dyDescent="0.35">
      <c r="N38" s="12" t="s">
        <v>72</v>
      </c>
      <c r="O38" s="12">
        <v>67.83</v>
      </c>
      <c r="P38" s="12">
        <v>80.06</v>
      </c>
      <c r="Q38" s="12">
        <v>92.41</v>
      </c>
      <c r="R38" s="12">
        <v>115.92</v>
      </c>
      <c r="S38" s="12">
        <v>127.45</v>
      </c>
      <c r="T38" s="12">
        <v>155.55000000000001</v>
      </c>
      <c r="U38" s="12">
        <v>210.97</v>
      </c>
      <c r="V38" s="12">
        <v>211.49</v>
      </c>
      <c r="W38" s="12">
        <v>246.83</v>
      </c>
      <c r="X38" s="12">
        <v>261.77</v>
      </c>
      <c r="AA38" s="12" t="s">
        <v>107</v>
      </c>
      <c r="AB38" s="12">
        <v>0</v>
      </c>
      <c r="AC38" s="12">
        <v>3995</v>
      </c>
      <c r="AD38" s="12">
        <v>5571</v>
      </c>
      <c r="AE38" s="12">
        <v>6827</v>
      </c>
      <c r="AF38" s="12">
        <v>18561</v>
      </c>
      <c r="AG38" s="12">
        <v>9365</v>
      </c>
      <c r="AH38" s="12">
        <v>16052</v>
      </c>
      <c r="AI38" s="12">
        <v>13009</v>
      </c>
      <c r="AJ38" s="12">
        <v>10813</v>
      </c>
      <c r="AK38" s="12">
        <v>20168</v>
      </c>
    </row>
    <row r="39" spans="1:37" ht="12.75" customHeight="1" x14ac:dyDescent="0.35">
      <c r="N39" s="12" t="s">
        <v>73</v>
      </c>
      <c r="O39" s="12">
        <v>0.75</v>
      </c>
      <c r="P39" s="12">
        <v>2.25</v>
      </c>
      <c r="Q39" s="12">
        <v>3.2</v>
      </c>
      <c r="R39" s="12">
        <v>4.0999999999999996</v>
      </c>
      <c r="S39" s="12">
        <v>2</v>
      </c>
      <c r="T39" s="12">
        <v>6.5</v>
      </c>
      <c r="U39" s="12">
        <v>17.350000000000001</v>
      </c>
      <c r="V39" s="12">
        <v>3.4</v>
      </c>
      <c r="W39" s="12">
        <v>7.3</v>
      </c>
      <c r="X39" s="12">
        <v>2.8</v>
      </c>
      <c r="AA39" s="12" t="s">
        <v>108</v>
      </c>
      <c r="AB39" s="12">
        <v>1805.65</v>
      </c>
      <c r="AC39" s="12">
        <v>2809</v>
      </c>
      <c r="AD39" s="12">
        <v>0</v>
      </c>
      <c r="AE39" s="12">
        <v>3195</v>
      </c>
      <c r="AF39" s="12">
        <v>1443</v>
      </c>
      <c r="AG39" s="12">
        <v>0</v>
      </c>
      <c r="AH39" s="12">
        <v>0</v>
      </c>
      <c r="AI39" s="12">
        <v>0</v>
      </c>
      <c r="AJ39" s="12">
        <v>0</v>
      </c>
      <c r="AK39" s="12">
        <v>219</v>
      </c>
    </row>
    <row r="40" spans="1:37" ht="12.75" customHeight="1" x14ac:dyDescent="0.35">
      <c r="N40" s="4" t="s">
        <v>127</v>
      </c>
      <c r="O40" s="58">
        <f>O23+O20</f>
        <v>-2020.5400000000004</v>
      </c>
      <c r="P40" s="58">
        <f t="shared" ref="P40:X40" si="0">P23+P20</f>
        <v>8774</v>
      </c>
      <c r="Q40" s="58">
        <f t="shared" si="0"/>
        <v>10666</v>
      </c>
      <c r="R40" s="58">
        <f t="shared" si="0"/>
        <v>15496</v>
      </c>
      <c r="S40" s="58">
        <f t="shared" si="0"/>
        <v>8314</v>
      </c>
      <c r="T40" s="58">
        <f t="shared" si="0"/>
        <v>15761</v>
      </c>
      <c r="U40" s="58">
        <f t="shared" si="0"/>
        <v>28564</v>
      </c>
      <c r="V40" s="58">
        <f t="shared" si="0"/>
        <v>11991</v>
      </c>
      <c r="W40" s="58">
        <f t="shared" si="0"/>
        <v>18210</v>
      </c>
      <c r="X40" s="58">
        <f t="shared" si="0"/>
        <v>13029</v>
      </c>
      <c r="AA40" s="12" t="s">
        <v>110</v>
      </c>
      <c r="AB40" s="12">
        <v>0</v>
      </c>
      <c r="AC40" s="12">
        <v>0</v>
      </c>
      <c r="AD40" s="12">
        <v>0</v>
      </c>
      <c r="AE40" s="12">
        <v>0</v>
      </c>
      <c r="AF40" s="12">
        <v>-572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</row>
    <row r="41" spans="1:37" ht="12.75" customHeight="1" x14ac:dyDescent="0.35">
      <c r="AA41" s="12" t="s">
        <v>111</v>
      </c>
      <c r="AB41" s="12">
        <v>0</v>
      </c>
      <c r="AC41" s="12">
        <v>-4802</v>
      </c>
      <c r="AD41" s="12">
        <v>-4774</v>
      </c>
      <c r="AE41" s="12">
        <v>-4333</v>
      </c>
      <c r="AF41" s="12">
        <v>-10320</v>
      </c>
      <c r="AG41" s="12">
        <v>-6053</v>
      </c>
      <c r="AH41" s="12">
        <v>-13753</v>
      </c>
      <c r="AI41" s="12">
        <v>-9881</v>
      </c>
      <c r="AJ41" s="12">
        <v>-9131</v>
      </c>
      <c r="AK41" s="12">
        <v>-14170</v>
      </c>
    </row>
    <row r="42" spans="1:37" ht="12.75" customHeight="1" x14ac:dyDescent="0.35">
      <c r="AA42" s="12" t="s">
        <v>112</v>
      </c>
      <c r="AB42" s="12">
        <v>0</v>
      </c>
      <c r="AC42" s="12">
        <v>0</v>
      </c>
      <c r="AD42" s="12">
        <v>-2703</v>
      </c>
      <c r="AE42" s="12">
        <v>0</v>
      </c>
      <c r="AF42" s="12">
        <v>0</v>
      </c>
      <c r="AG42" s="12">
        <v>-5528</v>
      </c>
      <c r="AH42" s="12">
        <v>-4505</v>
      </c>
      <c r="AI42" s="12">
        <v>-718</v>
      </c>
      <c r="AJ42" s="12">
        <v>-43</v>
      </c>
      <c r="AK42" s="12">
        <v>0</v>
      </c>
    </row>
    <row r="43" spans="1:37" ht="12.75" customHeight="1" x14ac:dyDescent="0.35">
      <c r="AA43" s="12" t="s">
        <v>113</v>
      </c>
      <c r="AB43" s="12">
        <v>-234.23</v>
      </c>
      <c r="AC43" s="12">
        <v>-322</v>
      </c>
      <c r="AD43" s="12">
        <v>-296</v>
      </c>
      <c r="AE43" s="12">
        <v>-306</v>
      </c>
      <c r="AF43" s="12">
        <v>-503</v>
      </c>
      <c r="AG43" s="12">
        <v>-776</v>
      </c>
      <c r="AH43" s="12">
        <v>-948</v>
      </c>
      <c r="AI43" s="12">
        <v>-552</v>
      </c>
      <c r="AJ43" s="12">
        <v>-311</v>
      </c>
      <c r="AK43" s="12">
        <v>-404</v>
      </c>
    </row>
    <row r="44" spans="1:37" ht="12.75" customHeight="1" x14ac:dyDescent="0.35">
      <c r="AA44" s="12" t="s">
        <v>114</v>
      </c>
      <c r="AB44" s="12">
        <v>-320.02999999999997</v>
      </c>
      <c r="AC44" s="12">
        <v>-218</v>
      </c>
      <c r="AD44" s="12">
        <v>-655</v>
      </c>
      <c r="AE44" s="12">
        <v>-907</v>
      </c>
      <c r="AF44" s="12">
        <v>-1190</v>
      </c>
      <c r="AG44" s="12">
        <v>-483</v>
      </c>
      <c r="AH44" s="12">
        <v>-1571</v>
      </c>
      <c r="AI44" s="12">
        <v>-4194</v>
      </c>
      <c r="AJ44" s="12">
        <v>-822</v>
      </c>
      <c r="AK44" s="12">
        <v>-1785</v>
      </c>
    </row>
    <row r="45" spans="1:37" ht="12.75" customHeight="1" x14ac:dyDescent="0.35">
      <c r="AA45" s="12" t="s">
        <v>115</v>
      </c>
      <c r="AB45" s="12">
        <v>-2805.86</v>
      </c>
      <c r="AC45" s="12">
        <v>-3494</v>
      </c>
      <c r="AD45" s="12">
        <v>-3417</v>
      </c>
      <c r="AE45" s="12">
        <v>-3598</v>
      </c>
      <c r="AF45" s="12">
        <v>-4371</v>
      </c>
      <c r="AG45" s="12">
        <v>-4005</v>
      </c>
      <c r="AH45" s="12">
        <v>-3890</v>
      </c>
      <c r="AI45" s="12">
        <v>-4808</v>
      </c>
      <c r="AJ45" s="12">
        <v>-5989</v>
      </c>
      <c r="AK45" s="12">
        <v>-6254</v>
      </c>
    </row>
    <row r="46" spans="1:37" ht="12.75" customHeight="1" x14ac:dyDescent="0.35">
      <c r="AA46" s="12" t="s">
        <v>86</v>
      </c>
      <c r="AB46" s="12">
        <v>572.94000000000005</v>
      </c>
      <c r="AC46" s="12">
        <v>-55</v>
      </c>
      <c r="AD46" s="12">
        <v>-76</v>
      </c>
      <c r="AE46" s="12">
        <v>-153</v>
      </c>
      <c r="AF46" s="12">
        <v>-101</v>
      </c>
      <c r="AG46" s="12">
        <v>0</v>
      </c>
      <c r="AH46" s="12">
        <v>-591</v>
      </c>
      <c r="AI46" s="12">
        <v>0</v>
      </c>
      <c r="AJ46" s="12">
        <v>0</v>
      </c>
      <c r="AK46" s="12">
        <v>-44</v>
      </c>
    </row>
    <row r="47" spans="1:37" ht="12.75" customHeight="1" x14ac:dyDescent="0.35">
      <c r="AA47" s="12" t="s">
        <v>116</v>
      </c>
      <c r="AB47" s="12">
        <v>-344.8</v>
      </c>
      <c r="AC47" s="12">
        <v>247</v>
      </c>
      <c r="AD47" s="12">
        <v>-261</v>
      </c>
      <c r="AE47" s="22">
        <v>4871</v>
      </c>
      <c r="AF47" s="22">
        <v>-1928</v>
      </c>
      <c r="AG47" s="22">
        <v>7683</v>
      </c>
      <c r="AH47" s="22">
        <v>-3451</v>
      </c>
      <c r="AI47" s="22">
        <v>5998</v>
      </c>
      <c r="AJ47" s="22">
        <v>-8715</v>
      </c>
      <c r="AK47" s="22">
        <v>4642</v>
      </c>
    </row>
    <row r="48" spans="1:37" ht="12.75" customHeight="1" x14ac:dyDescent="0.35">
      <c r="AA48" s="12" t="s">
        <v>117</v>
      </c>
      <c r="AB48" s="12">
        <v>465.1</v>
      </c>
      <c r="AC48" s="12">
        <v>712</v>
      </c>
      <c r="AD48" s="12">
        <v>451</v>
      </c>
      <c r="AE48" s="22">
        <v>5366</v>
      </c>
      <c r="AF48" s="22">
        <v>3438</v>
      </c>
      <c r="AG48" s="22">
        <v>11121</v>
      </c>
      <c r="AH48" s="22">
        <v>7670</v>
      </c>
      <c r="AI48" s="22">
        <v>13668</v>
      </c>
      <c r="AJ48" s="22">
        <v>4953</v>
      </c>
      <c r="AK48" s="22">
        <v>9595</v>
      </c>
    </row>
    <row r="49" spans="1:37" ht="12.75" customHeight="1" x14ac:dyDescent="0.35"/>
    <row r="50" spans="1:37" ht="12.75" customHeight="1" x14ac:dyDescent="0.35"/>
    <row r="51" spans="1:37" ht="12.75" customHeight="1" x14ac:dyDescent="0.35"/>
    <row r="52" spans="1:37" ht="12.75" customHeight="1" x14ac:dyDescent="0.35"/>
    <row r="53" spans="1:37" ht="12.75" customHeight="1" x14ac:dyDescent="0.35"/>
    <row r="54" spans="1:37" ht="12.75" customHeight="1" x14ac:dyDescent="0.35"/>
    <row r="55" spans="1:37" ht="12.75" customHeight="1" x14ac:dyDescent="0.35"/>
    <row r="56" spans="1:37" ht="12.75" customHeight="1" x14ac:dyDescent="0.35"/>
    <row r="57" spans="1:37" ht="12.75" customHeight="1" x14ac:dyDescent="0.35"/>
    <row r="58" spans="1:37" ht="12.75" customHeight="1" x14ac:dyDescent="0.35"/>
    <row r="59" spans="1:37" ht="12.75" customHeight="1" x14ac:dyDescent="0.35"/>
    <row r="60" spans="1:37" ht="12.75" customHeight="1" x14ac:dyDescent="0.35"/>
    <row r="61" spans="1:37" ht="12.75" customHeight="1" x14ac:dyDescent="0.35"/>
    <row r="62" spans="1:37" ht="37.25" customHeight="1" x14ac:dyDescent="0.35">
      <c r="A62" s="72" t="s">
        <v>121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</row>
    <row r="63" spans="1:37" ht="12.75" customHeight="1" x14ac:dyDescent="0.35"/>
    <row r="64" spans="1:37" ht="12.75" customHeight="1" x14ac:dyDescent="0.35">
      <c r="A64" s="34" t="s">
        <v>118</v>
      </c>
      <c r="B64" s="3"/>
      <c r="C64" s="30"/>
      <c r="D64" s="20"/>
      <c r="E64" s="20"/>
      <c r="F64" s="20"/>
      <c r="G64" s="20"/>
      <c r="H64" s="20"/>
      <c r="I64" s="20"/>
      <c r="J64" s="20"/>
      <c r="K64" s="20"/>
      <c r="L64" s="23"/>
      <c r="M64" s="15"/>
      <c r="N64" s="34" t="s">
        <v>119</v>
      </c>
      <c r="O64" s="3"/>
      <c r="P64" s="30"/>
      <c r="Q64" s="20"/>
      <c r="R64" s="20"/>
      <c r="S64" s="20"/>
      <c r="T64" s="20"/>
      <c r="U64" s="20"/>
      <c r="V64" s="20"/>
      <c r="W64" s="20"/>
      <c r="X64" s="20"/>
      <c r="Y64" s="23"/>
      <c r="Z64" s="15"/>
      <c r="AA64" s="34" t="s">
        <v>120</v>
      </c>
      <c r="AB64" s="3"/>
      <c r="AC64" s="30"/>
      <c r="AD64" s="20"/>
      <c r="AE64" s="20"/>
      <c r="AF64" s="20"/>
      <c r="AG64" s="20"/>
      <c r="AH64" s="20"/>
      <c r="AI64" s="20"/>
      <c r="AJ64" s="20"/>
      <c r="AK64" s="20"/>
    </row>
    <row r="65" spans="1:37" ht="12.75" customHeight="1" x14ac:dyDescent="0.35">
      <c r="A65" s="10" t="s">
        <v>1</v>
      </c>
      <c r="B65" s="10">
        <v>201603</v>
      </c>
      <c r="C65" s="10">
        <v>201703</v>
      </c>
      <c r="D65" s="10">
        <v>201803</v>
      </c>
      <c r="E65" s="10">
        <v>201903</v>
      </c>
      <c r="F65" s="10">
        <v>202003</v>
      </c>
      <c r="G65" s="10">
        <v>202103</v>
      </c>
      <c r="H65" s="10">
        <v>202203</v>
      </c>
      <c r="I65" s="10">
        <v>202303</v>
      </c>
      <c r="J65" s="10">
        <v>202403</v>
      </c>
      <c r="K65" s="10">
        <v>202503</v>
      </c>
      <c r="L65" s="24"/>
      <c r="M65" s="15"/>
      <c r="N65" s="10" t="s">
        <v>1</v>
      </c>
      <c r="O65" s="10">
        <v>201603</v>
      </c>
      <c r="P65" s="10">
        <v>201703</v>
      </c>
      <c r="Q65" s="10">
        <v>201803</v>
      </c>
      <c r="R65" s="10">
        <v>201903</v>
      </c>
      <c r="S65" s="10">
        <v>202003</v>
      </c>
      <c r="T65" s="10">
        <v>202103</v>
      </c>
      <c r="U65" s="10">
        <v>202203</v>
      </c>
      <c r="V65" s="10">
        <v>202303</v>
      </c>
      <c r="W65" s="10">
        <v>202403</v>
      </c>
      <c r="X65" s="10">
        <v>202503</v>
      </c>
      <c r="Y65" s="24"/>
      <c r="Z65" s="15"/>
      <c r="AA65" s="10" t="s">
        <v>1</v>
      </c>
      <c r="AB65" s="10">
        <v>201603</v>
      </c>
      <c r="AC65" s="10">
        <v>201703</v>
      </c>
      <c r="AD65" s="10">
        <v>201803</v>
      </c>
      <c r="AE65" s="10">
        <v>201903</v>
      </c>
      <c r="AF65" s="10">
        <v>202003</v>
      </c>
      <c r="AG65" s="10">
        <v>202103</v>
      </c>
      <c r="AH65" s="10">
        <v>202203</v>
      </c>
      <c r="AI65" s="10">
        <v>202303</v>
      </c>
      <c r="AJ65" s="10">
        <v>202403</v>
      </c>
      <c r="AK65" s="10">
        <v>202503</v>
      </c>
    </row>
    <row r="66" spans="1:37" ht="12.75" customHeight="1" x14ac:dyDescent="0.35">
      <c r="A66" s="2" t="s">
        <v>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21"/>
      <c r="M66" s="15"/>
      <c r="N66" s="2" t="s">
        <v>36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21"/>
      <c r="Z66" s="15"/>
      <c r="AA66" s="2" t="s">
        <v>75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1:37" ht="12.75" customHeight="1" x14ac:dyDescent="0.35">
      <c r="A67" s="2" t="s">
        <v>3</v>
      </c>
      <c r="B67" s="2">
        <v>971.41</v>
      </c>
      <c r="C67" s="2">
        <v>971.41</v>
      </c>
      <c r="D67" s="11">
        <v>1146.1199999999999</v>
      </c>
      <c r="E67" s="11">
        <v>1146.1199999999999</v>
      </c>
      <c r="F67" s="11">
        <v>1146.1300000000001</v>
      </c>
      <c r="G67" s="11">
        <v>1198.78</v>
      </c>
      <c r="H67" s="11">
        <v>1222.3699999999999</v>
      </c>
      <c r="I67" s="11">
        <v>1222.4000000000001</v>
      </c>
      <c r="J67" s="11">
        <v>1248.5999999999999</v>
      </c>
      <c r="K67" s="11">
        <v>1248.5999999999999</v>
      </c>
      <c r="L67" s="33"/>
      <c r="M67" s="15"/>
      <c r="N67" s="2" t="s">
        <v>37</v>
      </c>
      <c r="O67" s="11">
        <v>42697.440000000002</v>
      </c>
      <c r="P67" s="11">
        <v>53260.959999999999</v>
      </c>
      <c r="Q67" s="11">
        <v>60519.37</v>
      </c>
      <c r="R67" s="11">
        <v>70610.92</v>
      </c>
      <c r="S67" s="11">
        <v>60435.97</v>
      </c>
      <c r="T67" s="11">
        <v>84132.92</v>
      </c>
      <c r="U67" s="11">
        <v>129021.35</v>
      </c>
      <c r="V67" s="11">
        <v>142913.32</v>
      </c>
      <c r="W67" s="11">
        <v>140932.65</v>
      </c>
      <c r="X67" s="11">
        <v>132516.66</v>
      </c>
      <c r="Y67" s="33"/>
      <c r="Z67" s="15"/>
      <c r="AA67" s="2" t="s">
        <v>76</v>
      </c>
      <c r="AB67" s="2">
        <v>495.16</v>
      </c>
      <c r="AC67" s="2">
        <v>974.68</v>
      </c>
      <c r="AD67" s="2">
        <v>905.21</v>
      </c>
      <c r="AE67" s="11">
        <v>4588.8900000000003</v>
      </c>
      <c r="AF67" s="2">
        <v>544.85</v>
      </c>
      <c r="AG67" s="11">
        <v>1717.25</v>
      </c>
      <c r="AH67" s="11">
        <v>2221.31</v>
      </c>
      <c r="AI67" s="11">
        <v>7666.83</v>
      </c>
      <c r="AJ67" s="11">
        <v>1211.31</v>
      </c>
      <c r="AK67" s="11">
        <v>4556.8</v>
      </c>
    </row>
    <row r="68" spans="1:37" ht="12.75" customHeight="1" x14ac:dyDescent="0.35">
      <c r="A68" s="2" t="s">
        <v>4</v>
      </c>
      <c r="B68" s="11">
        <v>45665.97</v>
      </c>
      <c r="C68" s="11">
        <v>48687.59</v>
      </c>
      <c r="D68" s="11">
        <v>60368.7</v>
      </c>
      <c r="E68" s="11">
        <v>69308.59</v>
      </c>
      <c r="F68" s="11">
        <v>73416.990000000005</v>
      </c>
      <c r="G68" s="11">
        <v>93207.56</v>
      </c>
      <c r="H68" s="11">
        <v>124211.39</v>
      </c>
      <c r="I68" s="11">
        <v>135386.48000000001</v>
      </c>
      <c r="J68" s="11">
        <v>139980.87</v>
      </c>
      <c r="K68" s="11">
        <v>125483.34</v>
      </c>
      <c r="L68" s="33"/>
      <c r="M68" s="15"/>
      <c r="N68" s="2" t="s">
        <v>39</v>
      </c>
      <c r="O68" s="11">
        <v>38268.67</v>
      </c>
      <c r="P68" s="11">
        <v>47993.02</v>
      </c>
      <c r="Q68" s="11">
        <v>59616.82</v>
      </c>
      <c r="R68" s="11">
        <v>70610.92</v>
      </c>
      <c r="S68" s="11">
        <v>60435.97</v>
      </c>
      <c r="T68" s="11">
        <v>84132.92</v>
      </c>
      <c r="U68" s="11">
        <v>129021.35</v>
      </c>
      <c r="V68" s="11">
        <v>142913.32</v>
      </c>
      <c r="W68" s="11">
        <v>140932.65</v>
      </c>
      <c r="X68" s="11">
        <v>132516.66</v>
      </c>
      <c r="Y68" s="33"/>
      <c r="Z68" s="15"/>
      <c r="AA68" s="2" t="s">
        <v>77</v>
      </c>
      <c r="AB68" s="11">
        <v>7371.8</v>
      </c>
      <c r="AC68" s="11">
        <v>11166.64</v>
      </c>
      <c r="AD68" s="11">
        <v>11791.45</v>
      </c>
      <c r="AE68" s="11">
        <v>15193.11</v>
      </c>
      <c r="AF68" s="11">
        <v>13453.66</v>
      </c>
      <c r="AG68" s="11">
        <v>37554.769999999997</v>
      </c>
      <c r="AH68" s="11">
        <v>41986.12</v>
      </c>
      <c r="AI68" s="11">
        <v>13505.75</v>
      </c>
      <c r="AJ68" s="11">
        <v>27324.93</v>
      </c>
      <c r="AK68" s="11">
        <v>23879.91</v>
      </c>
    </row>
    <row r="69" spans="1:37" ht="12.75" customHeight="1" x14ac:dyDescent="0.35">
      <c r="A69" s="2" t="s">
        <v>5</v>
      </c>
      <c r="B69" s="11">
        <v>48912.38</v>
      </c>
      <c r="C69" s="11">
        <v>49659.01</v>
      </c>
      <c r="D69" s="11">
        <v>63789.84</v>
      </c>
      <c r="E69" s="11">
        <v>72729.710000000006</v>
      </c>
      <c r="F69" s="11">
        <v>76838.12</v>
      </c>
      <c r="G69" s="11">
        <v>95185.12</v>
      </c>
      <c r="H69" s="11">
        <v>125433.76</v>
      </c>
      <c r="I69" s="11">
        <v>136608.88</v>
      </c>
      <c r="J69" s="11">
        <v>141229.47</v>
      </c>
      <c r="K69" s="11">
        <v>126731.94</v>
      </c>
      <c r="L69" s="33"/>
      <c r="M69" s="15"/>
      <c r="N69" s="2" t="s">
        <v>40</v>
      </c>
      <c r="O69" s="2">
        <v>391.16</v>
      </c>
      <c r="P69" s="2">
        <v>414.46</v>
      </c>
      <c r="Q69" s="2">
        <v>763.66</v>
      </c>
      <c r="R69" s="11">
        <v>2667.36</v>
      </c>
      <c r="S69" s="2">
        <v>404.12</v>
      </c>
      <c r="T69" s="11">
        <v>1989.7</v>
      </c>
      <c r="U69" s="11">
        <v>1845.44</v>
      </c>
      <c r="V69" s="11">
        <v>2899.99</v>
      </c>
      <c r="W69" s="11">
        <v>3131.58</v>
      </c>
      <c r="X69" s="11">
        <v>2263.66</v>
      </c>
      <c r="Y69" s="33"/>
      <c r="Z69" s="15"/>
      <c r="AA69" s="2" t="s">
        <v>78</v>
      </c>
      <c r="AB69" s="2">
        <v>1543.34</v>
      </c>
      <c r="AC69" s="2">
        <v>5356.93</v>
      </c>
      <c r="AD69" s="2">
        <v>6638.25</v>
      </c>
      <c r="AE69" s="2">
        <v>16227.25</v>
      </c>
      <c r="AF69" s="2">
        <v>6610.98</v>
      </c>
      <c r="AG69" s="2">
        <v>18609.84</v>
      </c>
      <c r="AH69" s="2">
        <v>44090.65</v>
      </c>
      <c r="AI69" s="2">
        <v>20089.7</v>
      </c>
      <c r="AJ69" s="2">
        <v>19504.71</v>
      </c>
      <c r="AK69" s="2">
        <v>18718.84</v>
      </c>
    </row>
    <row r="70" spans="1:37" ht="12.75" customHeight="1" x14ac:dyDescent="0.35">
      <c r="A70" s="2" t="s">
        <v>6</v>
      </c>
      <c r="B70" s="11">
        <v>2360.37</v>
      </c>
      <c r="C70" s="11">
        <v>2435.0300000000002</v>
      </c>
      <c r="D70" s="11">
        <v>2528.86</v>
      </c>
      <c r="E70" s="11">
        <v>2572.19</v>
      </c>
      <c r="F70" s="11">
        <v>5987.43</v>
      </c>
      <c r="G70" s="11">
        <v>2927.4</v>
      </c>
      <c r="H70" s="11">
        <v>2715.14</v>
      </c>
      <c r="I70" s="11">
        <v>4442.54</v>
      </c>
      <c r="J70" s="11">
        <v>2829.25</v>
      </c>
      <c r="K70" s="11">
        <v>2907.94</v>
      </c>
      <c r="L70" s="33"/>
      <c r="M70" s="15"/>
      <c r="N70" s="2" t="s">
        <v>41</v>
      </c>
      <c r="O70" s="2">
        <v>-70.75</v>
      </c>
      <c r="P70" s="11">
        <v>1329.65</v>
      </c>
      <c r="Q70" s="2">
        <v>-545.36</v>
      </c>
      <c r="R70" s="2">
        <v>554.33000000000004</v>
      </c>
      <c r="S70" s="2">
        <v>564.4</v>
      </c>
      <c r="T70" s="11">
        <v>-2176.56</v>
      </c>
      <c r="U70" s="11">
        <v>1820.87</v>
      </c>
      <c r="V70" s="11">
        <v>1329.69</v>
      </c>
      <c r="W70" s="2">
        <v>-379.91</v>
      </c>
      <c r="X70" s="2">
        <v>-330.66</v>
      </c>
      <c r="Y70" s="29"/>
      <c r="Z70" s="15"/>
      <c r="AA70" s="2" t="s">
        <v>79</v>
      </c>
      <c r="AB70" s="2">
        <v>2962.28</v>
      </c>
      <c r="AC70" s="2">
        <v>3541.55</v>
      </c>
      <c r="AD70" s="2">
        <v>3727.46</v>
      </c>
      <c r="AE70" s="2">
        <v>3802.96</v>
      </c>
      <c r="AF70" s="2">
        <v>3920.12</v>
      </c>
      <c r="AG70" s="2">
        <v>5469.26</v>
      </c>
      <c r="AH70" s="2">
        <v>5463.69</v>
      </c>
      <c r="AI70" s="2">
        <v>5956.32</v>
      </c>
      <c r="AJ70" s="2">
        <v>6008.95</v>
      </c>
      <c r="AK70" s="2">
        <v>6253.16</v>
      </c>
    </row>
    <row r="71" spans="1:37" ht="12.75" customHeight="1" x14ac:dyDescent="0.35">
      <c r="A71" s="2" t="s">
        <v>7</v>
      </c>
      <c r="B71" s="11">
        <v>28483.14</v>
      </c>
      <c r="C71" s="11">
        <v>25849.599999999999</v>
      </c>
      <c r="D71" s="11">
        <v>25596.94</v>
      </c>
      <c r="E71" s="11">
        <v>27129.279999999999</v>
      </c>
      <c r="F71" s="11">
        <v>35435.440000000002</v>
      </c>
      <c r="G71" s="11">
        <v>34138.089999999997</v>
      </c>
      <c r="H71" s="11">
        <v>33809.370000000003</v>
      </c>
      <c r="I71" s="11">
        <v>38861.82</v>
      </c>
      <c r="J71" s="11">
        <v>41007.58</v>
      </c>
      <c r="K71" s="11">
        <v>60315.45</v>
      </c>
      <c r="L71" s="33"/>
      <c r="M71" s="15"/>
      <c r="N71" s="2" t="s">
        <v>42</v>
      </c>
      <c r="O71" s="11">
        <v>38589.08</v>
      </c>
      <c r="P71" s="11">
        <v>49737.13</v>
      </c>
      <c r="Q71" s="11">
        <v>59835.12</v>
      </c>
      <c r="R71" s="11">
        <v>73832.61</v>
      </c>
      <c r="S71" s="11">
        <v>61404.49</v>
      </c>
      <c r="T71" s="11">
        <v>83946.06</v>
      </c>
      <c r="U71" s="11">
        <v>132687.66</v>
      </c>
      <c r="V71" s="11">
        <v>147143</v>
      </c>
      <c r="W71" s="11">
        <v>143684.32</v>
      </c>
      <c r="X71" s="11">
        <v>134449.66</v>
      </c>
      <c r="Y71" s="33"/>
      <c r="Z71" s="15"/>
      <c r="AA71" s="2" t="s">
        <v>80</v>
      </c>
      <c r="AB71" s="2">
        <v>1577.79</v>
      </c>
      <c r="AC71" s="2">
        <v>2290.69</v>
      </c>
      <c r="AD71" s="2">
        <v>2022.24</v>
      </c>
      <c r="AE71" s="2">
        <v>550.28</v>
      </c>
      <c r="AF71" s="2">
        <v>2859.43</v>
      </c>
      <c r="AG71" s="2">
        <v>4001.89</v>
      </c>
      <c r="AH71" s="2">
        <v>1666.51</v>
      </c>
      <c r="AI71" s="2">
        <v>1926.43</v>
      </c>
      <c r="AJ71" s="2">
        <v>2165.1</v>
      </c>
      <c r="AK71" s="2">
        <v>2343.34</v>
      </c>
    </row>
    <row r="72" spans="1:37" ht="12.75" customHeight="1" x14ac:dyDescent="0.35">
      <c r="A72" s="2" t="s">
        <v>8</v>
      </c>
      <c r="B72" s="11">
        <v>30843.51</v>
      </c>
      <c r="C72" s="11">
        <v>28284.63</v>
      </c>
      <c r="D72" s="11">
        <v>28125.8</v>
      </c>
      <c r="E72" s="11">
        <v>29701.47</v>
      </c>
      <c r="F72" s="11">
        <v>41422.870000000003</v>
      </c>
      <c r="G72" s="11">
        <v>37065.49</v>
      </c>
      <c r="H72" s="11">
        <v>36524.51</v>
      </c>
      <c r="I72" s="11">
        <v>43304.36</v>
      </c>
      <c r="J72" s="11">
        <v>43836.83</v>
      </c>
      <c r="K72" s="11">
        <v>63223.39</v>
      </c>
      <c r="L72" s="33"/>
      <c r="M72" s="15"/>
      <c r="N72" s="2" t="s">
        <v>43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21"/>
      <c r="Z72" s="15"/>
      <c r="AA72" s="2" t="s">
        <v>81</v>
      </c>
      <c r="AB72" s="2">
        <v>0</v>
      </c>
      <c r="AC72" s="2">
        <v>0</v>
      </c>
      <c r="AD72" s="2">
        <v>-88.57</v>
      </c>
      <c r="AE72" s="2">
        <v>-96.25</v>
      </c>
      <c r="AF72" s="2">
        <v>-89.73</v>
      </c>
      <c r="AG72" s="2">
        <v>-68.11</v>
      </c>
      <c r="AH72" s="2">
        <v>-243.92</v>
      </c>
      <c r="AI72" s="2">
        <v>-201.93</v>
      </c>
      <c r="AJ72" s="2">
        <v>-313.31</v>
      </c>
      <c r="AK72" s="2">
        <v>-297.35000000000002</v>
      </c>
    </row>
    <row r="73" spans="1:37" ht="12.75" customHeight="1" x14ac:dyDescent="0.35">
      <c r="A73" s="2" t="s">
        <v>9</v>
      </c>
      <c r="B73" s="11">
        <v>5932.29</v>
      </c>
      <c r="C73" s="11">
        <v>7944.43</v>
      </c>
      <c r="D73" s="11">
        <v>4889.12</v>
      </c>
      <c r="E73" s="11">
        <v>4716.8100000000004</v>
      </c>
      <c r="F73" s="11">
        <v>5438.9</v>
      </c>
      <c r="G73" s="11">
        <v>11161.4</v>
      </c>
      <c r="H73" s="11">
        <v>10782.35</v>
      </c>
      <c r="I73" s="11">
        <v>10346.42</v>
      </c>
      <c r="J73" s="11">
        <v>9237.6200000000008</v>
      </c>
      <c r="K73" s="11">
        <v>9622.09</v>
      </c>
      <c r="L73" s="33"/>
      <c r="M73" s="15"/>
      <c r="N73" s="2" t="s">
        <v>44</v>
      </c>
      <c r="O73" s="11">
        <v>10691.55</v>
      </c>
      <c r="P73" s="11">
        <v>13377.96</v>
      </c>
      <c r="Q73" s="11">
        <v>17524.84</v>
      </c>
      <c r="R73" s="11">
        <v>21648.14</v>
      </c>
      <c r="S73" s="11">
        <v>18970.13</v>
      </c>
      <c r="T73" s="11">
        <v>22445.88</v>
      </c>
      <c r="U73" s="11">
        <v>39346.01</v>
      </c>
      <c r="V73" s="11">
        <v>67372.929999999993</v>
      </c>
      <c r="W73" s="11">
        <v>58216.03</v>
      </c>
      <c r="X73" s="11">
        <v>53914.43</v>
      </c>
      <c r="Y73" s="33"/>
      <c r="Z73" s="15"/>
      <c r="AA73" s="2" t="s">
        <v>82</v>
      </c>
      <c r="AB73" s="2">
        <v>-2.12</v>
      </c>
      <c r="AC73" s="2">
        <v>0</v>
      </c>
      <c r="AD73" s="2">
        <v>40.479999999999997</v>
      </c>
      <c r="AE73" s="2">
        <v>1.42</v>
      </c>
      <c r="AF73" s="2">
        <v>1.2</v>
      </c>
      <c r="AG73" s="2">
        <v>-22.88</v>
      </c>
      <c r="AH73" s="2">
        <v>-17.28</v>
      </c>
      <c r="AI73" s="2">
        <v>66.16</v>
      </c>
      <c r="AJ73" s="2">
        <v>-850.38</v>
      </c>
      <c r="AK73" s="2">
        <v>77.599999999999994</v>
      </c>
    </row>
    <row r="74" spans="1:37" ht="12.75" customHeight="1" x14ac:dyDescent="0.35">
      <c r="A74" s="2" t="s">
        <v>10</v>
      </c>
      <c r="B74" s="11">
        <v>85688.18</v>
      </c>
      <c r="C74" s="11">
        <v>85888.07</v>
      </c>
      <c r="D74" s="11">
        <v>96804.76</v>
      </c>
      <c r="E74" s="11">
        <v>107147.99</v>
      </c>
      <c r="F74" s="11">
        <v>123699.89</v>
      </c>
      <c r="G74" s="11">
        <v>143412.01</v>
      </c>
      <c r="H74" s="11">
        <v>172740.62</v>
      </c>
      <c r="I74" s="11">
        <v>190259.66</v>
      </c>
      <c r="J74" s="11">
        <v>194303.92</v>
      </c>
      <c r="K74" s="11">
        <v>199577.42</v>
      </c>
      <c r="L74" s="33"/>
      <c r="M74" s="15"/>
      <c r="N74" s="2" t="s">
        <v>45</v>
      </c>
      <c r="O74" s="11">
        <v>2545.8200000000002</v>
      </c>
      <c r="P74" s="11">
        <v>2880.92</v>
      </c>
      <c r="Q74" s="11">
        <v>2925.2</v>
      </c>
      <c r="R74" s="11">
        <v>3033.34</v>
      </c>
      <c r="S74" s="11">
        <v>3104.4</v>
      </c>
      <c r="T74" s="11">
        <v>3746.26</v>
      </c>
      <c r="U74" s="11">
        <v>4663.6899999999996</v>
      </c>
      <c r="V74" s="11">
        <v>6630.38</v>
      </c>
      <c r="W74" s="11">
        <v>7206.89</v>
      </c>
      <c r="X74" s="11">
        <v>7111.41</v>
      </c>
      <c r="Y74" s="33"/>
      <c r="Z74" s="15"/>
      <c r="AA74" s="2" t="s">
        <v>83</v>
      </c>
      <c r="AB74" s="2">
        <v>0</v>
      </c>
      <c r="AC74" s="2">
        <v>-0.97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</row>
    <row r="75" spans="1:37" ht="12.75" customHeight="1" x14ac:dyDescent="0.35">
      <c r="A75" s="2" t="s">
        <v>11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21"/>
      <c r="M75" s="15"/>
      <c r="N75" s="2" t="s">
        <v>46</v>
      </c>
      <c r="O75" s="11">
        <v>4319.8900000000003</v>
      </c>
      <c r="P75" s="11">
        <v>4605.13</v>
      </c>
      <c r="Q75" s="11">
        <v>4918.54</v>
      </c>
      <c r="R75" s="11">
        <v>5131.0600000000004</v>
      </c>
      <c r="S75" s="11">
        <v>5036.62</v>
      </c>
      <c r="T75" s="11">
        <v>5741.94</v>
      </c>
      <c r="U75" s="11">
        <v>6365.8</v>
      </c>
      <c r="V75" s="11">
        <v>7220.74</v>
      </c>
      <c r="W75" s="11">
        <v>7472.52</v>
      </c>
      <c r="X75" s="11">
        <v>8010.08</v>
      </c>
      <c r="Y75" s="33"/>
      <c r="Z75" s="15"/>
      <c r="AA75" s="2" t="s">
        <v>85</v>
      </c>
      <c r="AB75" s="2">
        <v>-2.82</v>
      </c>
      <c r="AC75" s="2">
        <v>15.47</v>
      </c>
      <c r="AD75" s="2">
        <v>-88.17</v>
      </c>
      <c r="AE75" s="2">
        <v>-1.27</v>
      </c>
      <c r="AF75" s="2">
        <v>-85.86</v>
      </c>
      <c r="AG75" s="2">
        <v>-20.329999999999998</v>
      </c>
      <c r="AH75" s="2">
        <v>-851.6</v>
      </c>
      <c r="AI75" s="2">
        <v>-2544.7800000000002</v>
      </c>
      <c r="AJ75" s="2">
        <v>-499.37</v>
      </c>
      <c r="AK75" s="2">
        <v>-397.52</v>
      </c>
    </row>
    <row r="76" spans="1:37" x14ac:dyDescent="0.35">
      <c r="A76" s="2" t="s">
        <v>12</v>
      </c>
      <c r="B76" s="11">
        <v>55808.43</v>
      </c>
      <c r="C76" s="11">
        <v>81823.38</v>
      </c>
      <c r="D76" s="11">
        <v>84681.58</v>
      </c>
      <c r="E76" s="11">
        <v>87965.86</v>
      </c>
      <c r="F76" s="11">
        <v>91825.67</v>
      </c>
      <c r="G76" s="11">
        <v>125757.29</v>
      </c>
      <c r="H76" s="11">
        <v>128078.07</v>
      </c>
      <c r="I76" s="11">
        <v>138750.91</v>
      </c>
      <c r="J76" s="11">
        <v>146198.16</v>
      </c>
      <c r="K76" s="11">
        <v>152652.54999999999</v>
      </c>
      <c r="L76" s="33"/>
      <c r="M76" s="15"/>
      <c r="N76" s="2" t="s">
        <v>47</v>
      </c>
      <c r="O76" s="11">
        <v>6776.01</v>
      </c>
      <c r="P76" s="11">
        <v>7860.9</v>
      </c>
      <c r="Q76" s="11">
        <v>8870.77</v>
      </c>
      <c r="R76" s="11">
        <v>9861.44</v>
      </c>
      <c r="S76" s="11">
        <v>10751.01</v>
      </c>
      <c r="T76" s="11">
        <v>11056.12</v>
      </c>
      <c r="U76" s="11">
        <v>12981.69</v>
      </c>
      <c r="V76" s="11">
        <v>15892.27</v>
      </c>
      <c r="W76" s="11">
        <v>21815.78</v>
      </c>
      <c r="X76" s="11">
        <v>22651.200000000001</v>
      </c>
      <c r="Y76" s="33"/>
      <c r="Z76" s="15"/>
      <c r="AA76" s="2" t="s">
        <v>86</v>
      </c>
      <c r="AB76" s="2">
        <v>1543.4</v>
      </c>
      <c r="AC76" s="2">
        <v>357.01</v>
      </c>
      <c r="AD76" s="2">
        <v>2857.29</v>
      </c>
      <c r="AE76" s="2">
        <v>-535.51</v>
      </c>
      <c r="AF76" s="2">
        <v>552.14</v>
      </c>
      <c r="AG76" s="2">
        <v>-742.47</v>
      </c>
      <c r="AH76" s="2">
        <v>198.65</v>
      </c>
      <c r="AI76" s="2">
        <v>711.48</v>
      </c>
      <c r="AJ76" s="2">
        <v>3546</v>
      </c>
      <c r="AK76" s="2">
        <v>-1017.09</v>
      </c>
    </row>
    <row r="77" spans="1:37" x14ac:dyDescent="0.35">
      <c r="A77" s="2" t="s">
        <v>13</v>
      </c>
      <c r="B77" s="11">
        <v>5682.58</v>
      </c>
      <c r="C77" s="11">
        <v>9217.6200000000008</v>
      </c>
      <c r="D77" s="11">
        <v>12913.89</v>
      </c>
      <c r="E77" s="11">
        <v>16702.169999999998</v>
      </c>
      <c r="F77" s="11">
        <v>20550.62</v>
      </c>
      <c r="G77" s="11">
        <v>28528.400000000001</v>
      </c>
      <c r="H77" s="11">
        <v>33786.43</v>
      </c>
      <c r="I77" s="11">
        <v>41326.85</v>
      </c>
      <c r="J77" s="11">
        <v>47612.36</v>
      </c>
      <c r="K77" s="11">
        <v>52993.2</v>
      </c>
      <c r="L77" s="33"/>
      <c r="M77" s="15"/>
      <c r="N77" s="2" t="s">
        <v>48</v>
      </c>
      <c r="O77" s="11">
        <v>5009.3900000000003</v>
      </c>
      <c r="P77" s="11">
        <v>6597.22</v>
      </c>
      <c r="Q77" s="11">
        <v>7027.64</v>
      </c>
      <c r="R77" s="11">
        <v>7925.02</v>
      </c>
      <c r="S77" s="11">
        <v>7024.02</v>
      </c>
      <c r="T77" s="11">
        <v>9251.1</v>
      </c>
      <c r="U77" s="11">
        <v>14791.02</v>
      </c>
      <c r="V77" s="11">
        <v>16513.169999999998</v>
      </c>
      <c r="W77" s="11">
        <v>9810.89</v>
      </c>
      <c r="X77" s="11">
        <v>8072.12</v>
      </c>
      <c r="Y77" s="33"/>
      <c r="Z77" s="15"/>
      <c r="AA77" s="2" t="s">
        <v>87</v>
      </c>
      <c r="AB77" s="2">
        <v>6078.53</v>
      </c>
      <c r="AC77" s="2">
        <v>6203.75</v>
      </c>
      <c r="AD77" s="2">
        <v>8470.73</v>
      </c>
      <c r="AE77" s="2">
        <v>3721.63</v>
      </c>
      <c r="AF77" s="2">
        <v>7157.3</v>
      </c>
      <c r="AG77" s="2">
        <v>8617.36</v>
      </c>
      <c r="AH77" s="2">
        <v>6216.05</v>
      </c>
      <c r="AI77" s="2">
        <v>5913.68</v>
      </c>
      <c r="AJ77" s="2">
        <v>10056.99</v>
      </c>
      <c r="AK77" s="2">
        <v>6962.14</v>
      </c>
    </row>
    <row r="78" spans="1:37" ht="12.75" customHeight="1" x14ac:dyDescent="0.35">
      <c r="A78" s="2" t="s">
        <v>14</v>
      </c>
      <c r="B78" s="2">
        <v>37.46</v>
      </c>
      <c r="C78" s="2">
        <v>38.61</v>
      </c>
      <c r="D78" s="2">
        <v>38.61</v>
      </c>
      <c r="E78" s="2">
        <v>41.67</v>
      </c>
      <c r="F78" s="2">
        <v>41.67</v>
      </c>
      <c r="G78" s="2">
        <v>85.61</v>
      </c>
      <c r="H78" s="2">
        <v>1.21</v>
      </c>
      <c r="I78" s="2">
        <v>1.21</v>
      </c>
      <c r="J78" s="2">
        <v>180.29</v>
      </c>
      <c r="K78" s="2">
        <v>180.29</v>
      </c>
      <c r="L78" s="29"/>
      <c r="M78" s="15"/>
      <c r="N78" s="2" t="s">
        <v>49</v>
      </c>
      <c r="O78" s="11">
        <v>3491.64</v>
      </c>
      <c r="P78" s="11">
        <v>3045.49</v>
      </c>
      <c r="Q78" s="11">
        <v>5728.46</v>
      </c>
      <c r="R78" s="11">
        <v>4179.5200000000004</v>
      </c>
      <c r="S78" s="11">
        <v>4627.33</v>
      </c>
      <c r="T78" s="11">
        <v>4405.88</v>
      </c>
      <c r="U78" s="11">
        <v>4651.12</v>
      </c>
      <c r="V78" s="11">
        <v>4578.09</v>
      </c>
      <c r="W78" s="11">
        <v>10535.57</v>
      </c>
      <c r="X78" s="11">
        <v>6254.53</v>
      </c>
      <c r="Y78" s="33"/>
      <c r="Z78" s="15"/>
      <c r="AA78" s="2" t="s">
        <v>88</v>
      </c>
      <c r="AB78" s="2">
        <v>7621.87</v>
      </c>
      <c r="AC78" s="2">
        <v>11560.68</v>
      </c>
      <c r="AD78" s="2">
        <v>15108.98</v>
      </c>
      <c r="AE78" s="2">
        <v>19948.88</v>
      </c>
      <c r="AF78" s="2">
        <v>13768.28</v>
      </c>
      <c r="AG78" s="2">
        <v>27227.200000000001</v>
      </c>
      <c r="AH78" s="2">
        <v>50306.7</v>
      </c>
      <c r="AI78" s="2">
        <v>26003.38</v>
      </c>
      <c r="AJ78" s="2">
        <v>29561.7</v>
      </c>
      <c r="AK78" s="2">
        <v>25680.98</v>
      </c>
    </row>
    <row r="79" spans="1:37" ht="12.75" customHeight="1" x14ac:dyDescent="0.35">
      <c r="A79" s="2" t="s">
        <v>15</v>
      </c>
      <c r="B79" s="11">
        <v>50088.39</v>
      </c>
      <c r="C79" s="11">
        <v>72567.149999999994</v>
      </c>
      <c r="D79" s="11">
        <v>71729.08</v>
      </c>
      <c r="E79" s="11">
        <v>71222.02</v>
      </c>
      <c r="F79" s="11">
        <v>71233.38</v>
      </c>
      <c r="G79" s="11">
        <v>97143.28</v>
      </c>
      <c r="H79" s="11">
        <v>94290.43</v>
      </c>
      <c r="I79" s="11">
        <v>97422.85</v>
      </c>
      <c r="J79" s="11">
        <v>98405.51</v>
      </c>
      <c r="K79" s="11">
        <v>99479.06</v>
      </c>
      <c r="L79" s="33"/>
      <c r="M79" s="15"/>
      <c r="N79" s="2" t="s">
        <v>50</v>
      </c>
      <c r="O79" s="2">
        <v>598.89</v>
      </c>
      <c r="P79" s="2">
        <v>217.52</v>
      </c>
      <c r="Q79" s="2">
        <v>336.66</v>
      </c>
      <c r="R79" s="2">
        <v>799.7</v>
      </c>
      <c r="S79" s="11">
        <v>1671.13</v>
      </c>
      <c r="T79" s="11">
        <v>1321.24</v>
      </c>
      <c r="U79" s="11">
        <v>2458.09</v>
      </c>
      <c r="V79" s="11">
        <v>1085.23</v>
      </c>
      <c r="W79" s="2">
        <v>987.54</v>
      </c>
      <c r="X79" s="2">
        <v>774.46</v>
      </c>
      <c r="Y79" s="29"/>
      <c r="Z79" s="15"/>
      <c r="AA79" s="2" t="s">
        <v>90</v>
      </c>
      <c r="AB79" s="2">
        <v>887.48</v>
      </c>
      <c r="AC79" s="2">
        <v>-3093.05</v>
      </c>
      <c r="AD79" s="2">
        <v>-784.63</v>
      </c>
      <c r="AE79" s="2">
        <v>-214.6</v>
      </c>
      <c r="AF79" s="2">
        <v>533.21</v>
      </c>
      <c r="AG79" s="2">
        <v>2664.03</v>
      </c>
      <c r="AH79" s="2">
        <v>-7072.78</v>
      </c>
      <c r="AI79" s="2">
        <v>-1972.02</v>
      </c>
      <c r="AJ79" s="2">
        <v>882.64</v>
      </c>
      <c r="AK79" s="2">
        <v>1584.13</v>
      </c>
    </row>
    <row r="80" spans="1:37" ht="12.75" customHeight="1" x14ac:dyDescent="0.35">
      <c r="A80" s="2" t="s">
        <v>16</v>
      </c>
      <c r="B80" s="11">
        <v>28205.88</v>
      </c>
      <c r="C80" s="11">
        <v>6163.96</v>
      </c>
      <c r="D80" s="11">
        <v>5673.27</v>
      </c>
      <c r="E80" s="11">
        <v>5796.29</v>
      </c>
      <c r="F80" s="11">
        <v>8247.0499999999993</v>
      </c>
      <c r="G80" s="11">
        <v>10908.28</v>
      </c>
      <c r="H80" s="11">
        <v>14541.96</v>
      </c>
      <c r="I80" s="11">
        <v>22168.77</v>
      </c>
      <c r="J80" s="11">
        <v>28095.21</v>
      </c>
      <c r="K80" s="11">
        <v>34860.300000000003</v>
      </c>
      <c r="L80" s="33"/>
      <c r="M80" s="15"/>
      <c r="N80" s="2" t="s">
        <v>51</v>
      </c>
      <c r="O80" s="11">
        <v>32235.41</v>
      </c>
      <c r="P80" s="11">
        <v>38150.1</v>
      </c>
      <c r="Q80" s="11">
        <v>46658.79</v>
      </c>
      <c r="R80" s="11">
        <v>50978.82</v>
      </c>
      <c r="S80" s="11">
        <v>47842.38</v>
      </c>
      <c r="T80" s="11">
        <v>55325.94</v>
      </c>
      <c r="U80" s="11">
        <v>80341.240000000005</v>
      </c>
      <c r="V80" s="11">
        <v>117122.35</v>
      </c>
      <c r="W80" s="11">
        <v>114070.14</v>
      </c>
      <c r="X80" s="11">
        <v>105239.31</v>
      </c>
      <c r="Y80" s="33"/>
      <c r="Z80" s="15"/>
      <c r="AA80" s="2" t="s">
        <v>86</v>
      </c>
      <c r="AB80" s="2">
        <v>106.55</v>
      </c>
      <c r="AC80" s="2">
        <v>4239.88</v>
      </c>
      <c r="AD80" s="2">
        <v>-30.39</v>
      </c>
      <c r="AE80" s="2">
        <v>-8.6300000000000008</v>
      </c>
      <c r="AF80" s="2">
        <v>970.95</v>
      </c>
      <c r="AG80" s="2">
        <v>8035.79</v>
      </c>
      <c r="AH80" s="2">
        <v>9992.43</v>
      </c>
      <c r="AI80" s="2">
        <v>-5517.47</v>
      </c>
      <c r="AJ80" s="2">
        <v>1925.98</v>
      </c>
      <c r="AK80" s="2">
        <v>-1071.17</v>
      </c>
    </row>
    <row r="81" spans="1:37" ht="12.75" customHeight="1" x14ac:dyDescent="0.35">
      <c r="A81" s="2" t="s">
        <v>17</v>
      </c>
      <c r="B81" s="11">
        <v>11785.42</v>
      </c>
      <c r="C81" s="11">
        <v>13665.71</v>
      </c>
      <c r="D81" s="11">
        <v>24276.93</v>
      </c>
      <c r="E81" s="11">
        <v>39406.720000000001</v>
      </c>
      <c r="F81" s="11">
        <v>50096.07</v>
      </c>
      <c r="G81" s="11">
        <v>36184.129999999997</v>
      </c>
      <c r="H81" s="11">
        <v>43497.54</v>
      </c>
      <c r="I81" s="11">
        <v>42435.63</v>
      </c>
      <c r="J81" s="11">
        <v>66825.600000000006</v>
      </c>
      <c r="K81" s="11">
        <v>72699.13</v>
      </c>
      <c r="L81" s="33"/>
      <c r="M81" s="15"/>
      <c r="N81" s="2" t="s">
        <v>52</v>
      </c>
      <c r="O81" s="11">
        <v>6353.67</v>
      </c>
      <c r="P81" s="11">
        <v>11587.03</v>
      </c>
      <c r="Q81" s="11">
        <v>13176.33</v>
      </c>
      <c r="R81" s="11">
        <v>22853.79</v>
      </c>
      <c r="S81" s="11">
        <v>13562.11</v>
      </c>
      <c r="T81" s="11">
        <v>28620.12</v>
      </c>
      <c r="U81" s="11">
        <v>52346.42</v>
      </c>
      <c r="V81" s="11">
        <v>30020.65</v>
      </c>
      <c r="W81" s="11">
        <v>29614.18</v>
      </c>
      <c r="X81" s="11">
        <v>29210.35</v>
      </c>
      <c r="Y81" s="33"/>
      <c r="Z81" s="15"/>
      <c r="AA81" s="2" t="s">
        <v>92</v>
      </c>
      <c r="AB81" s="2">
        <v>994.03</v>
      </c>
      <c r="AC81" s="2">
        <v>1146.83</v>
      </c>
      <c r="AD81" s="2">
        <v>-815.02</v>
      </c>
      <c r="AE81" s="2">
        <v>-223.23</v>
      </c>
      <c r="AF81" s="2">
        <v>1504.16</v>
      </c>
      <c r="AG81" s="2">
        <v>10699.82</v>
      </c>
      <c r="AH81" s="2">
        <v>2919.65</v>
      </c>
      <c r="AI81" s="2">
        <v>-7489.49</v>
      </c>
      <c r="AJ81" s="2">
        <v>2808.62</v>
      </c>
      <c r="AK81" s="2">
        <v>512.96</v>
      </c>
    </row>
    <row r="82" spans="1:37" ht="12.75" customHeight="1" x14ac:dyDescent="0.35">
      <c r="A82" s="2" t="s">
        <v>18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21"/>
      <c r="M82" s="15"/>
      <c r="N82" s="2" t="s">
        <v>53</v>
      </c>
      <c r="O82" s="11">
        <v>1848.05</v>
      </c>
      <c r="P82" s="11">
        <v>2688.55</v>
      </c>
      <c r="Q82" s="11">
        <v>2810.62</v>
      </c>
      <c r="R82" s="11">
        <v>2823.58</v>
      </c>
      <c r="S82" s="11">
        <v>3031.01</v>
      </c>
      <c r="T82" s="11">
        <v>4541.0200000000004</v>
      </c>
      <c r="U82" s="11">
        <v>2792.08</v>
      </c>
      <c r="V82" s="11">
        <v>3974.63</v>
      </c>
      <c r="W82" s="11">
        <v>4100.5200000000004</v>
      </c>
      <c r="X82" s="11">
        <v>4238.3500000000004</v>
      </c>
      <c r="Y82" s="33"/>
      <c r="Z82" s="15"/>
      <c r="AA82" s="2" t="s">
        <v>93</v>
      </c>
      <c r="AB82" s="2">
        <v>8615.9</v>
      </c>
      <c r="AC82" s="2">
        <v>12707.51</v>
      </c>
      <c r="AD82" s="2">
        <v>14293.96</v>
      </c>
      <c r="AE82" s="2">
        <v>19725.650000000001</v>
      </c>
      <c r="AF82" s="2">
        <v>15272.44</v>
      </c>
      <c r="AG82" s="2">
        <v>37927.019999999997</v>
      </c>
      <c r="AH82" s="2">
        <v>53226.35</v>
      </c>
      <c r="AI82" s="2">
        <v>18513.89</v>
      </c>
      <c r="AJ82" s="2">
        <v>32370.32</v>
      </c>
      <c r="AK82" s="2">
        <v>26193.94</v>
      </c>
    </row>
    <row r="83" spans="1:37" ht="12.75" customHeight="1" x14ac:dyDescent="0.35">
      <c r="A83" s="2" t="s">
        <v>19</v>
      </c>
      <c r="B83" s="11">
        <v>7137.38</v>
      </c>
      <c r="C83" s="11">
        <v>10236.85</v>
      </c>
      <c r="D83" s="11">
        <v>11023.41</v>
      </c>
      <c r="E83" s="11">
        <v>11255.34</v>
      </c>
      <c r="F83" s="11">
        <v>10716.66</v>
      </c>
      <c r="G83" s="11">
        <v>12857.51</v>
      </c>
      <c r="H83" s="11">
        <v>19942.939999999999</v>
      </c>
      <c r="I83" s="11">
        <v>25420.36</v>
      </c>
      <c r="J83" s="11">
        <v>24655.78</v>
      </c>
      <c r="K83" s="11">
        <v>22933.85</v>
      </c>
      <c r="L83" s="33"/>
      <c r="M83" s="15"/>
      <c r="N83" s="2" t="s">
        <v>54</v>
      </c>
      <c r="O83" s="11">
        <v>4505.62</v>
      </c>
      <c r="P83" s="11">
        <v>8898.48</v>
      </c>
      <c r="Q83" s="11">
        <v>10365.709999999999</v>
      </c>
      <c r="R83" s="11">
        <v>20030.21</v>
      </c>
      <c r="S83" s="11">
        <v>10531.1</v>
      </c>
      <c r="T83" s="11">
        <v>24079.1</v>
      </c>
      <c r="U83" s="11">
        <v>49554.34</v>
      </c>
      <c r="V83" s="11">
        <v>26046.02</v>
      </c>
      <c r="W83" s="11">
        <v>25513.66</v>
      </c>
      <c r="X83" s="11">
        <v>24972</v>
      </c>
      <c r="Y83" s="33"/>
      <c r="Z83" s="15"/>
      <c r="AA83" s="2" t="s">
        <v>94</v>
      </c>
      <c r="AB83" s="2">
        <v>-1244.0999999999999</v>
      </c>
      <c r="AC83" s="2">
        <v>-1540.87</v>
      </c>
      <c r="AD83" s="2">
        <v>-2502.5100000000002</v>
      </c>
      <c r="AE83" s="2">
        <v>-4532.54</v>
      </c>
      <c r="AF83" s="2">
        <v>-1818.78</v>
      </c>
      <c r="AG83" s="2">
        <v>-372.25</v>
      </c>
      <c r="AH83" s="2">
        <v>-11240.23</v>
      </c>
      <c r="AI83" s="2">
        <v>-5008.1400000000003</v>
      </c>
      <c r="AJ83" s="2">
        <v>-5045.3900000000003</v>
      </c>
      <c r="AK83" s="2">
        <v>-2314.0300000000002</v>
      </c>
    </row>
    <row r="84" spans="1:37" ht="12.75" customHeight="1" x14ac:dyDescent="0.35">
      <c r="A84" s="2" t="s">
        <v>20</v>
      </c>
      <c r="B84" s="11">
        <v>1133.17</v>
      </c>
      <c r="C84" s="11">
        <v>2006.52</v>
      </c>
      <c r="D84" s="11">
        <v>1875.63</v>
      </c>
      <c r="E84" s="11">
        <v>1363.04</v>
      </c>
      <c r="F84" s="11">
        <v>1016.73</v>
      </c>
      <c r="G84" s="11">
        <v>2878.58</v>
      </c>
      <c r="H84" s="11">
        <v>3280.3</v>
      </c>
      <c r="I84" s="11">
        <v>2561.79</v>
      </c>
      <c r="J84" s="11">
        <v>1595.94</v>
      </c>
      <c r="K84" s="11">
        <v>1565.65</v>
      </c>
      <c r="L84" s="33"/>
      <c r="M84" s="15"/>
      <c r="N84" s="2" t="s">
        <v>55</v>
      </c>
      <c r="O84" s="11">
        <v>2962.28</v>
      </c>
      <c r="P84" s="11">
        <v>3541.55</v>
      </c>
      <c r="Q84" s="11">
        <v>3727.46</v>
      </c>
      <c r="R84" s="11">
        <v>3802.96</v>
      </c>
      <c r="S84" s="11">
        <v>3920.12</v>
      </c>
      <c r="T84" s="11">
        <v>5469.26</v>
      </c>
      <c r="U84" s="11">
        <v>5463.69</v>
      </c>
      <c r="V84" s="11">
        <v>5956.32</v>
      </c>
      <c r="W84" s="11">
        <v>6008.95</v>
      </c>
      <c r="X84" s="11">
        <v>6253.16</v>
      </c>
      <c r="Y84" s="33"/>
      <c r="Z84" s="15"/>
      <c r="AA84" s="2" t="s">
        <v>95</v>
      </c>
      <c r="AB84" s="2">
        <v>-1244.0999999999999</v>
      </c>
      <c r="AC84" s="2">
        <v>-1540.87</v>
      </c>
      <c r="AD84" s="2">
        <v>-2502.5100000000002</v>
      </c>
      <c r="AE84" s="2">
        <v>-4532.54</v>
      </c>
      <c r="AF84" s="2">
        <v>-1818.78</v>
      </c>
      <c r="AG84" s="2">
        <v>-372.25</v>
      </c>
      <c r="AH84" s="2">
        <v>-11240.23</v>
      </c>
      <c r="AI84" s="2">
        <v>-5008.1400000000003</v>
      </c>
      <c r="AJ84" s="2">
        <v>-5045.3900000000003</v>
      </c>
      <c r="AK84" s="2">
        <v>-2314.0300000000002</v>
      </c>
    </row>
    <row r="85" spans="1:37" ht="12.75" customHeight="1" x14ac:dyDescent="0.35">
      <c r="A85" s="2" t="s">
        <v>21</v>
      </c>
      <c r="B85" s="11">
        <v>1036.1300000000001</v>
      </c>
      <c r="C85" s="2">
        <v>970.31</v>
      </c>
      <c r="D85" s="11">
        <v>4696.74</v>
      </c>
      <c r="E85" s="2">
        <v>718.11</v>
      </c>
      <c r="F85" s="11">
        <v>1226.8699999999999</v>
      </c>
      <c r="G85" s="11">
        <v>2396.9</v>
      </c>
      <c r="H85" s="11">
        <v>2855.29</v>
      </c>
      <c r="I85" s="11">
        <v>2849.95</v>
      </c>
      <c r="J85" s="11">
        <v>5970.01</v>
      </c>
      <c r="K85" s="11">
        <v>4144.62</v>
      </c>
      <c r="L85" s="33"/>
      <c r="M85" s="15"/>
      <c r="N85" s="2" t="s">
        <v>56</v>
      </c>
      <c r="O85" s="11">
        <v>1543.34</v>
      </c>
      <c r="P85" s="11">
        <v>5356.93</v>
      </c>
      <c r="Q85" s="11">
        <v>6638.25</v>
      </c>
      <c r="R85" s="11">
        <v>16227.25</v>
      </c>
      <c r="S85" s="11">
        <v>6610.98</v>
      </c>
      <c r="T85" s="11">
        <v>18609.84</v>
      </c>
      <c r="U85" s="11">
        <v>44090.65</v>
      </c>
      <c r="V85" s="11">
        <v>20089.7</v>
      </c>
      <c r="W85" s="11">
        <v>19504.71</v>
      </c>
      <c r="X85" s="11">
        <v>18718.84</v>
      </c>
      <c r="Y85" s="33"/>
      <c r="Z85" s="15"/>
      <c r="AA85" s="2" t="s">
        <v>96</v>
      </c>
      <c r="AB85" s="2">
        <v>7371.8</v>
      </c>
      <c r="AC85" s="2">
        <v>11166.64</v>
      </c>
      <c r="AD85" s="2">
        <v>11791.45</v>
      </c>
      <c r="AE85" s="2">
        <v>15193.11</v>
      </c>
      <c r="AF85" s="2">
        <v>13453.66</v>
      </c>
      <c r="AG85" s="2">
        <v>37554.769999999997</v>
      </c>
      <c r="AH85" s="2">
        <v>41986.12</v>
      </c>
      <c r="AI85" s="2">
        <v>13505.75</v>
      </c>
      <c r="AJ85" s="2">
        <v>27324.93</v>
      </c>
      <c r="AK85" s="2">
        <v>23879.91</v>
      </c>
    </row>
    <row r="86" spans="1:37" ht="12.75" customHeight="1" x14ac:dyDescent="0.35">
      <c r="A86" s="2" t="s">
        <v>22</v>
      </c>
      <c r="B86" s="11">
        <v>1321.57</v>
      </c>
      <c r="C86" s="11">
        <v>1586.91</v>
      </c>
      <c r="D86" s="11">
        <v>2407.7600000000002</v>
      </c>
      <c r="E86" s="11">
        <v>3221.62</v>
      </c>
      <c r="F86" s="11">
        <v>3813.77</v>
      </c>
      <c r="G86" s="11">
        <v>4044.61</v>
      </c>
      <c r="H86" s="11">
        <v>5114.93</v>
      </c>
      <c r="I86" s="11">
        <v>6715.21</v>
      </c>
      <c r="J86" s="11">
        <v>4215.7299999999996</v>
      </c>
      <c r="K86" s="11">
        <v>5058.66</v>
      </c>
      <c r="L86" s="33"/>
      <c r="M86" s="15"/>
      <c r="N86" s="2" t="s">
        <v>57</v>
      </c>
      <c r="O86" s="11">
        <v>1193.28</v>
      </c>
      <c r="P86" s="11">
        <v>1400.54</v>
      </c>
      <c r="Q86" s="11">
        <v>1586.78</v>
      </c>
      <c r="R86" s="11">
        <v>6297.11</v>
      </c>
      <c r="S86" s="11">
        <v>1787.95</v>
      </c>
      <c r="T86" s="11">
        <v>-1329.78</v>
      </c>
      <c r="U86" s="11">
        <v>11611.94</v>
      </c>
      <c r="V86" s="11">
        <v>4918.3900000000003</v>
      </c>
      <c r="W86" s="11">
        <v>4383.47</v>
      </c>
      <c r="X86" s="11">
        <v>3765.51</v>
      </c>
      <c r="Y86" s="33"/>
      <c r="Z86" s="15"/>
      <c r="AA86" s="2" t="s">
        <v>97</v>
      </c>
      <c r="AB86" s="11">
        <v>-4351.84</v>
      </c>
      <c r="AC86" s="11">
        <v>-3956.4</v>
      </c>
      <c r="AD86" s="11">
        <v>-12273.35</v>
      </c>
      <c r="AE86" s="11">
        <v>-16349.98</v>
      </c>
      <c r="AF86" s="11">
        <v>-17634.66</v>
      </c>
      <c r="AG86" s="11">
        <v>-13665.22</v>
      </c>
      <c r="AH86" s="11">
        <v>-34167.79</v>
      </c>
      <c r="AI86" s="11">
        <v>-14794.2</v>
      </c>
      <c r="AJ86" s="11">
        <v>-15702.47</v>
      </c>
      <c r="AK86" s="11">
        <v>-34605.660000000003</v>
      </c>
    </row>
    <row r="87" spans="1:37" ht="12.75" customHeight="1" x14ac:dyDescent="0.35">
      <c r="A87" s="2" t="s">
        <v>23</v>
      </c>
      <c r="B87" s="11">
        <v>10628.25</v>
      </c>
      <c r="C87" s="11">
        <v>14800.59</v>
      </c>
      <c r="D87" s="11">
        <v>20003.54</v>
      </c>
      <c r="E87" s="11">
        <v>16558.11</v>
      </c>
      <c r="F87" s="11">
        <v>16774.03</v>
      </c>
      <c r="G87" s="11">
        <v>22177.599999999999</v>
      </c>
      <c r="H87" s="11">
        <v>31193.46</v>
      </c>
      <c r="I87" s="11">
        <v>37547.31</v>
      </c>
      <c r="J87" s="11">
        <v>36437.46</v>
      </c>
      <c r="K87" s="11">
        <v>33702.78</v>
      </c>
      <c r="L87" s="33"/>
      <c r="M87" s="15"/>
      <c r="N87" s="2" t="s">
        <v>58</v>
      </c>
      <c r="O87" s="2">
        <v>-605.59</v>
      </c>
      <c r="P87" s="2">
        <v>511.84</v>
      </c>
      <c r="Q87" s="2">
        <v>881.92</v>
      </c>
      <c r="R87" s="2">
        <v>-603.04999999999995</v>
      </c>
      <c r="S87" s="11">
        <v>-1920.77</v>
      </c>
      <c r="T87" s="11">
        <v>2861.65</v>
      </c>
      <c r="U87" s="2">
        <v>-532.47</v>
      </c>
      <c r="V87" s="2">
        <v>486.06</v>
      </c>
      <c r="W87" s="2">
        <v>-540.61</v>
      </c>
      <c r="X87" s="2">
        <v>983.63</v>
      </c>
      <c r="Y87" s="29"/>
      <c r="Z87" s="15"/>
      <c r="AA87" s="2" t="s">
        <v>98</v>
      </c>
      <c r="AB87" s="2">
        <v>-4777.91</v>
      </c>
      <c r="AC87" s="2">
        <v>-3212.72</v>
      </c>
      <c r="AD87" s="2">
        <v>-2527.46</v>
      </c>
      <c r="AE87" s="2">
        <v>-3676.86</v>
      </c>
      <c r="AF87" s="2">
        <v>-4749.28</v>
      </c>
      <c r="AG87" s="2">
        <v>-2266.2199999999998</v>
      </c>
      <c r="AH87" s="2">
        <v>-6288.29</v>
      </c>
      <c r="AI87" s="2">
        <v>-9067.9599999999991</v>
      </c>
      <c r="AJ87" s="2">
        <v>-10876.23</v>
      </c>
      <c r="AK87" s="2">
        <v>-11105.71</v>
      </c>
    </row>
    <row r="88" spans="1:37" ht="12.75" customHeight="1" x14ac:dyDescent="0.35">
      <c r="A88" s="2" t="s">
        <v>24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21"/>
      <c r="M88" s="15"/>
      <c r="N88" s="2" t="s">
        <v>59</v>
      </c>
      <c r="O88" s="2">
        <v>955.65</v>
      </c>
      <c r="P88" s="11">
        <v>3444.55</v>
      </c>
      <c r="Q88" s="11">
        <v>4169.55</v>
      </c>
      <c r="R88" s="11">
        <v>10533.19</v>
      </c>
      <c r="S88" s="11">
        <v>6743.8</v>
      </c>
      <c r="T88" s="11">
        <v>17077.97</v>
      </c>
      <c r="U88" s="11">
        <v>33011.18</v>
      </c>
      <c r="V88" s="11">
        <v>14685.25</v>
      </c>
      <c r="W88" s="11">
        <v>15661.85</v>
      </c>
      <c r="X88" s="11">
        <v>13969.7</v>
      </c>
      <c r="Y88" s="33"/>
      <c r="Z88" s="15"/>
      <c r="AA88" s="2" t="s">
        <v>99</v>
      </c>
      <c r="AB88" s="2">
        <v>32.130000000000003</v>
      </c>
      <c r="AC88" s="2">
        <v>6.8</v>
      </c>
      <c r="AD88" s="2">
        <v>13.28</v>
      </c>
      <c r="AE88" s="2">
        <v>18.940000000000001</v>
      </c>
      <c r="AF88" s="2">
        <v>173.07</v>
      </c>
      <c r="AG88" s="2">
        <v>36.25</v>
      </c>
      <c r="AH88" s="2">
        <v>132.61000000000001</v>
      </c>
      <c r="AI88" s="2">
        <v>31.82</v>
      </c>
      <c r="AJ88" s="2">
        <v>221.14</v>
      </c>
      <c r="AK88" s="2">
        <v>775.28</v>
      </c>
    </row>
    <row r="89" spans="1:37" ht="12.75" customHeight="1" x14ac:dyDescent="0.35">
      <c r="A89" s="2" t="s">
        <v>25</v>
      </c>
      <c r="B89" s="11">
        <v>12802.36</v>
      </c>
      <c r="C89" s="11">
        <v>18299.75</v>
      </c>
      <c r="D89" s="11">
        <v>20861.150000000001</v>
      </c>
      <c r="E89" s="11">
        <v>21407</v>
      </c>
      <c r="F89" s="11">
        <v>19889.27</v>
      </c>
      <c r="G89" s="11">
        <v>26830.48</v>
      </c>
      <c r="H89" s="11">
        <v>38995.919999999998</v>
      </c>
      <c r="I89" s="11">
        <v>40255.68</v>
      </c>
      <c r="J89" s="11">
        <v>43016.94</v>
      </c>
      <c r="K89" s="11">
        <v>42834.25</v>
      </c>
      <c r="L89" s="33"/>
      <c r="M89" s="15"/>
      <c r="N89" s="2" t="s">
        <v>60</v>
      </c>
      <c r="O89" s="2">
        <v>-325.49</v>
      </c>
      <c r="P89" s="2">
        <v>-456.1</v>
      </c>
      <c r="Q89" s="11">
        <v>-1956.6</v>
      </c>
      <c r="R89" s="2">
        <v>294.43</v>
      </c>
      <c r="S89" s="11">
        <v>-1173.54</v>
      </c>
      <c r="T89" s="2">
        <v>833.21</v>
      </c>
      <c r="U89" s="2">
        <v>-26.22</v>
      </c>
      <c r="V89" s="2">
        <v>-414.04</v>
      </c>
      <c r="W89" s="11">
        <v>-1887.4</v>
      </c>
      <c r="X89" s="2">
        <v>-583.97</v>
      </c>
      <c r="Y89" s="29"/>
      <c r="Z89" s="15"/>
      <c r="AA89" s="2" t="s">
        <v>100</v>
      </c>
      <c r="AB89" s="2">
        <v>-3563.07</v>
      </c>
      <c r="AC89" s="2">
        <v>-845.92</v>
      </c>
      <c r="AD89" s="2">
        <v>-8650.92</v>
      </c>
      <c r="AE89" s="2">
        <v>-403.02</v>
      </c>
      <c r="AF89" s="2">
        <v>-2722.7</v>
      </c>
      <c r="AG89" s="2">
        <v>-3694.91</v>
      </c>
      <c r="AH89" s="2">
        <v>-55.39</v>
      </c>
      <c r="AI89" s="2">
        <v>-314</v>
      </c>
      <c r="AJ89" s="2">
        <v>-0.01</v>
      </c>
      <c r="AK89" s="2">
        <v>-327.73</v>
      </c>
    </row>
    <row r="90" spans="1:37" ht="12.75" customHeight="1" x14ac:dyDescent="0.35">
      <c r="A90" s="2" t="s">
        <v>26</v>
      </c>
      <c r="B90" s="11">
        <v>1013.22</v>
      </c>
      <c r="C90" s="11">
        <v>1166.32</v>
      </c>
      <c r="D90" s="11">
        <v>1189.3399999999999</v>
      </c>
      <c r="E90" s="11">
        <v>1136.3699999999999</v>
      </c>
      <c r="F90" s="2">
        <v>941.12</v>
      </c>
      <c r="G90" s="11">
        <v>1730.66</v>
      </c>
      <c r="H90" s="11">
        <v>2162.11</v>
      </c>
      <c r="I90" s="11">
        <v>3672.06</v>
      </c>
      <c r="J90" s="11">
        <v>2503.4899999999998</v>
      </c>
      <c r="K90" s="11">
        <v>2643.32</v>
      </c>
      <c r="L90" s="33"/>
      <c r="M90" s="15"/>
      <c r="N90" s="2" t="s">
        <v>61</v>
      </c>
      <c r="O90" s="11">
        <v>1281.1400000000001</v>
      </c>
      <c r="P90" s="11">
        <v>3900.65</v>
      </c>
      <c r="Q90" s="11">
        <v>6126.15</v>
      </c>
      <c r="R90" s="11">
        <v>10238.76</v>
      </c>
      <c r="S90" s="11">
        <v>7917.34</v>
      </c>
      <c r="T90" s="11">
        <v>16244.76</v>
      </c>
      <c r="U90" s="11">
        <v>33037.4</v>
      </c>
      <c r="V90" s="11">
        <v>15099.29</v>
      </c>
      <c r="W90" s="11">
        <v>17549.25</v>
      </c>
      <c r="X90" s="11">
        <v>14553.67</v>
      </c>
      <c r="Y90" s="33"/>
      <c r="Z90" s="15"/>
      <c r="AA90" s="2" t="s">
        <v>101</v>
      </c>
      <c r="AB90" s="2">
        <v>3980.35</v>
      </c>
      <c r="AC90" s="2">
        <v>3.9</v>
      </c>
      <c r="AD90" s="2">
        <v>3877.78</v>
      </c>
      <c r="AE90" s="2">
        <v>15066.32</v>
      </c>
      <c r="AF90" s="2">
        <v>0</v>
      </c>
      <c r="AG90" s="2">
        <v>0</v>
      </c>
      <c r="AH90" s="2">
        <v>7193.3</v>
      </c>
      <c r="AI90" s="2">
        <v>5761.42</v>
      </c>
      <c r="AJ90" s="2">
        <v>2612</v>
      </c>
      <c r="AK90" s="2">
        <v>782.61</v>
      </c>
    </row>
    <row r="91" spans="1:37" ht="12.75" customHeight="1" x14ac:dyDescent="0.35">
      <c r="A91" s="2" t="s">
        <v>27</v>
      </c>
      <c r="B91" s="11">
        <v>13815.58</v>
      </c>
      <c r="C91" s="11">
        <v>19466.07</v>
      </c>
      <c r="D91" s="11">
        <v>22050.49</v>
      </c>
      <c r="E91" s="11">
        <v>22543.37</v>
      </c>
      <c r="F91" s="11">
        <v>20830.39</v>
      </c>
      <c r="G91" s="11">
        <v>28561.14</v>
      </c>
      <c r="H91" s="11">
        <v>41158.03</v>
      </c>
      <c r="I91" s="11">
        <v>43927.74</v>
      </c>
      <c r="J91" s="11">
        <v>45520.43</v>
      </c>
      <c r="K91" s="11">
        <v>45477.57</v>
      </c>
      <c r="L91" s="33"/>
      <c r="M91" s="15"/>
      <c r="N91" s="2" t="s">
        <v>62</v>
      </c>
      <c r="O91" s="11">
        <v>3044.51</v>
      </c>
      <c r="P91" s="2">
        <v>-462.42</v>
      </c>
      <c r="Q91" s="11">
        <v>3221.01</v>
      </c>
      <c r="R91" s="2">
        <v>-392.62</v>
      </c>
      <c r="S91" s="2">
        <v>-842.07</v>
      </c>
      <c r="T91" s="2">
        <v>-256.02</v>
      </c>
      <c r="U91" s="2">
        <v>14.57</v>
      </c>
      <c r="V91" s="2">
        <v>199.83</v>
      </c>
      <c r="W91" s="2">
        <v>-159.77000000000001</v>
      </c>
      <c r="X91" s="2">
        <v>-126.41</v>
      </c>
      <c r="Y91" s="29"/>
      <c r="Z91" s="15"/>
      <c r="AA91" s="2" t="s">
        <v>102</v>
      </c>
      <c r="AB91" s="2">
        <v>24.67</v>
      </c>
      <c r="AC91" s="2">
        <v>117.34</v>
      </c>
      <c r="AD91" s="2">
        <v>92.67</v>
      </c>
      <c r="AE91" s="2">
        <v>1696.86</v>
      </c>
      <c r="AF91" s="2">
        <v>117.34</v>
      </c>
      <c r="AG91" s="2">
        <v>260.86</v>
      </c>
      <c r="AH91" s="2">
        <v>144.32</v>
      </c>
      <c r="AI91" s="2">
        <v>281.98</v>
      </c>
      <c r="AJ91" s="2">
        <v>193.08</v>
      </c>
      <c r="AK91" s="2">
        <v>141.29</v>
      </c>
    </row>
    <row r="92" spans="1:37" ht="12.75" customHeight="1" x14ac:dyDescent="0.35">
      <c r="A92" s="2" t="s">
        <v>28</v>
      </c>
      <c r="B92" s="11">
        <v>-3187.33</v>
      </c>
      <c r="C92" s="11">
        <v>-4665.4799999999996</v>
      </c>
      <c r="D92" s="11">
        <v>-2046.95</v>
      </c>
      <c r="E92" s="11">
        <v>-5985.26</v>
      </c>
      <c r="F92" s="11">
        <v>-4056.36</v>
      </c>
      <c r="G92" s="11">
        <v>-6383.54</v>
      </c>
      <c r="H92" s="11">
        <v>-9964.57</v>
      </c>
      <c r="I92" s="11">
        <v>-6380.43</v>
      </c>
      <c r="J92" s="11">
        <v>-9082.9699999999993</v>
      </c>
      <c r="K92" s="11">
        <v>-11774.79</v>
      </c>
      <c r="L92" s="33"/>
      <c r="M92" s="15"/>
      <c r="N92" s="2" t="s">
        <v>63</v>
      </c>
      <c r="O92" s="11">
        <v>6852.56</v>
      </c>
      <c r="P92" s="11">
        <v>10075.75</v>
      </c>
      <c r="Q92" s="11">
        <v>12280.91</v>
      </c>
      <c r="R92" s="11">
        <v>18700.25</v>
      </c>
      <c r="S92" s="11">
        <v>27694.9</v>
      </c>
      <c r="T92" s="11">
        <v>30803.97</v>
      </c>
      <c r="U92" s="11">
        <v>46480</v>
      </c>
      <c r="V92" s="11">
        <v>77873.960000000006</v>
      </c>
      <c r="W92" s="11">
        <v>89292.09</v>
      </c>
      <c r="X92" s="11">
        <v>100380.17</v>
      </c>
      <c r="Y92" s="33"/>
      <c r="Z92" s="15"/>
      <c r="AA92" s="2" t="s">
        <v>81</v>
      </c>
      <c r="AB92" s="2">
        <v>107.08</v>
      </c>
      <c r="AC92" s="2">
        <v>87.51</v>
      </c>
      <c r="AD92" s="2">
        <v>88.57</v>
      </c>
      <c r="AE92" s="2">
        <v>96.25</v>
      </c>
      <c r="AF92" s="2">
        <v>89.73</v>
      </c>
      <c r="AG92" s="2">
        <v>68.11</v>
      </c>
      <c r="AH92" s="2">
        <v>243.92</v>
      </c>
      <c r="AI92" s="2">
        <v>201.93</v>
      </c>
      <c r="AJ92" s="2">
        <v>313.31</v>
      </c>
      <c r="AK92" s="2">
        <v>297.35000000000002</v>
      </c>
    </row>
    <row r="93" spans="1:37" ht="12.75" customHeight="1" x14ac:dyDescent="0.35">
      <c r="A93" s="2" t="s">
        <v>29</v>
      </c>
      <c r="B93" s="11">
        <v>5158.3599999999997</v>
      </c>
      <c r="C93" s="11">
        <v>6714.48</v>
      </c>
      <c r="D93" s="11">
        <v>7223.77</v>
      </c>
      <c r="E93" s="11">
        <v>6238.6</v>
      </c>
      <c r="F93" s="11">
        <v>5220.7</v>
      </c>
      <c r="G93" s="11">
        <v>5948.93</v>
      </c>
      <c r="H93" s="11">
        <v>6676.06</v>
      </c>
      <c r="I93" s="11">
        <v>6564.8</v>
      </c>
      <c r="J93" s="11">
        <v>6585.42</v>
      </c>
      <c r="K93" s="11">
        <v>5718.67</v>
      </c>
      <c r="L93" s="33"/>
      <c r="M93" s="15"/>
      <c r="N93" s="2" t="s">
        <v>64</v>
      </c>
      <c r="O93" s="2">
        <v>776.97</v>
      </c>
      <c r="P93" s="2">
        <v>776.97</v>
      </c>
      <c r="Q93" s="2">
        <v>971.22</v>
      </c>
      <c r="R93" s="11">
        <v>1145.92</v>
      </c>
      <c r="S93" s="11">
        <v>1489.67</v>
      </c>
      <c r="T93" s="11">
        <v>1145.92</v>
      </c>
      <c r="U93" s="11">
        <v>3007.08</v>
      </c>
      <c r="V93" s="11">
        <v>6267.84</v>
      </c>
      <c r="W93" s="11">
        <v>4414</v>
      </c>
      <c r="X93" s="11">
        <v>4494.07</v>
      </c>
      <c r="Y93" s="33"/>
      <c r="Z93" s="15"/>
      <c r="AA93" s="2" t="s">
        <v>103</v>
      </c>
      <c r="AB93" s="2">
        <v>-171.22</v>
      </c>
      <c r="AC93" s="2">
        <v>-100.12</v>
      </c>
      <c r="AD93" s="2">
        <v>-5018.88</v>
      </c>
      <c r="AE93" s="2">
        <v>-29076.49</v>
      </c>
      <c r="AF93" s="2">
        <v>-8945.16</v>
      </c>
      <c r="AG93" s="2">
        <v>-937.07</v>
      </c>
      <c r="AH93" s="2">
        <v>-12897</v>
      </c>
      <c r="AI93" s="2">
        <v>-12686.82</v>
      </c>
      <c r="AJ93" s="2">
        <v>-176.41</v>
      </c>
      <c r="AK93" s="2">
        <v>-24575.72</v>
      </c>
    </row>
    <row r="94" spans="1:37" ht="12.75" customHeight="1" x14ac:dyDescent="0.35">
      <c r="A94" s="2" t="s">
        <v>30</v>
      </c>
      <c r="B94" s="11">
        <v>10769.06</v>
      </c>
      <c r="C94" s="11">
        <v>12825.75</v>
      </c>
      <c r="D94" s="11">
        <v>13482.86</v>
      </c>
      <c r="E94" s="11">
        <v>14045.6</v>
      </c>
      <c r="F94" s="11">
        <v>11082.98</v>
      </c>
      <c r="G94" s="11">
        <v>14466.71</v>
      </c>
      <c r="H94" s="11">
        <v>14763.63</v>
      </c>
      <c r="I94" s="11">
        <v>15073.13</v>
      </c>
      <c r="J94" s="11">
        <v>14687.42</v>
      </c>
      <c r="K94" s="11">
        <v>14796.42</v>
      </c>
      <c r="L94" s="33"/>
      <c r="M94" s="15"/>
      <c r="N94" s="2" t="s">
        <v>65</v>
      </c>
      <c r="O94" s="11">
        <v>10075.75</v>
      </c>
      <c r="P94" s="11">
        <v>12280.91</v>
      </c>
      <c r="Q94" s="11">
        <v>18700.25</v>
      </c>
      <c r="R94" s="11">
        <v>27694.9</v>
      </c>
      <c r="S94" s="11">
        <v>32106.959999999999</v>
      </c>
      <c r="T94" s="11">
        <v>46480</v>
      </c>
      <c r="U94" s="11">
        <v>76498.67</v>
      </c>
      <c r="V94" s="11">
        <v>86491.199999999997</v>
      </c>
      <c r="W94" s="11">
        <v>100380.17</v>
      </c>
      <c r="X94" s="11">
        <v>109729.39</v>
      </c>
      <c r="Y94" s="33"/>
      <c r="Z94" s="15"/>
      <c r="AA94" s="2" t="s">
        <v>86</v>
      </c>
      <c r="AB94" s="2">
        <v>16.13</v>
      </c>
      <c r="AC94" s="2">
        <v>-13.19</v>
      </c>
      <c r="AD94" s="2">
        <v>-148.38999999999999</v>
      </c>
      <c r="AE94" s="2">
        <v>-71.98</v>
      </c>
      <c r="AF94" s="2">
        <v>-1597.66</v>
      </c>
      <c r="AG94" s="2">
        <v>-7153.3</v>
      </c>
      <c r="AH94" s="2">
        <v>-22641.26</v>
      </c>
      <c r="AI94" s="2">
        <v>-114.99</v>
      </c>
      <c r="AJ94" s="2">
        <v>-7991.12</v>
      </c>
      <c r="AK94" s="2">
        <v>-593.03</v>
      </c>
    </row>
    <row r="95" spans="1:37" ht="12.75" customHeight="1" x14ac:dyDescent="0.35">
      <c r="A95" s="2" t="s">
        <v>31</v>
      </c>
      <c r="B95" s="11">
        <v>-5610.7</v>
      </c>
      <c r="C95" s="11">
        <v>-6111.27</v>
      </c>
      <c r="D95" s="11">
        <v>-6259.09</v>
      </c>
      <c r="E95" s="11">
        <v>-7807</v>
      </c>
      <c r="F95" s="11">
        <v>-5862.28</v>
      </c>
      <c r="G95" s="11">
        <v>-8517.7800000000007</v>
      </c>
      <c r="H95" s="11">
        <v>-8087.57</v>
      </c>
      <c r="I95" s="11">
        <v>-8508.33</v>
      </c>
      <c r="J95" s="11">
        <v>-8102</v>
      </c>
      <c r="K95" s="11">
        <v>-9077.75</v>
      </c>
      <c r="L95" s="33"/>
      <c r="M95" s="15"/>
      <c r="N95" s="2" t="s">
        <v>66</v>
      </c>
      <c r="O95" s="2">
        <v>776.97</v>
      </c>
      <c r="P95" s="2">
        <v>971.22</v>
      </c>
      <c r="Q95" s="11">
        <v>1144.75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9"/>
      <c r="Z95" s="15"/>
      <c r="AA95" s="2" t="s">
        <v>105</v>
      </c>
      <c r="AB95" s="11">
        <v>-2540.44</v>
      </c>
      <c r="AC95" s="11">
        <v>-7279.71</v>
      </c>
      <c r="AD95" s="11">
        <v>4165.58</v>
      </c>
      <c r="AE95" s="11">
        <v>-2887.17</v>
      </c>
      <c r="AF95" s="11">
        <v>4629.79</v>
      </c>
      <c r="AG95" s="11">
        <v>-23385.49</v>
      </c>
      <c r="AH95" s="11">
        <v>-7368.05</v>
      </c>
      <c r="AI95" s="11">
        <v>-5192.78</v>
      </c>
      <c r="AJ95" s="11">
        <v>-8276.9699999999993</v>
      </c>
      <c r="AK95" s="11">
        <v>9280.8799999999992</v>
      </c>
    </row>
    <row r="96" spans="1:37" ht="12.75" customHeight="1" x14ac:dyDescent="0.35">
      <c r="A96" s="2" t="s">
        <v>32</v>
      </c>
      <c r="B96" s="11">
        <v>4406.5200000000004</v>
      </c>
      <c r="C96" s="11">
        <v>4268</v>
      </c>
      <c r="D96" s="11">
        <v>3431.52</v>
      </c>
      <c r="E96" s="11">
        <v>4515.22</v>
      </c>
      <c r="F96" s="11">
        <v>4042.03</v>
      </c>
      <c r="G96" s="11">
        <v>14077.64</v>
      </c>
      <c r="H96" s="11">
        <v>38462.83</v>
      </c>
      <c r="I96" s="11">
        <v>43121.17</v>
      </c>
      <c r="J96" s="11">
        <v>18162.57</v>
      </c>
      <c r="K96" s="11">
        <v>13391.47</v>
      </c>
      <c r="L96" s="33"/>
      <c r="M96" s="15"/>
      <c r="N96" s="2" t="s">
        <v>67</v>
      </c>
      <c r="O96" s="2">
        <v>80</v>
      </c>
      <c r="P96" s="2">
        <v>100</v>
      </c>
      <c r="Q96" s="2">
        <v>100</v>
      </c>
      <c r="R96" s="2">
        <v>130</v>
      </c>
      <c r="S96" s="2">
        <v>100</v>
      </c>
      <c r="T96" s="2">
        <v>250</v>
      </c>
      <c r="U96" s="2">
        <v>510</v>
      </c>
      <c r="V96" s="2">
        <v>360</v>
      </c>
      <c r="W96" s="2">
        <v>360</v>
      </c>
      <c r="X96" s="2">
        <v>360</v>
      </c>
      <c r="Y96" s="29"/>
      <c r="Z96" s="15"/>
      <c r="AA96" s="2" t="s">
        <v>106</v>
      </c>
      <c r="AB96" s="2">
        <v>0</v>
      </c>
      <c r="AC96" s="2">
        <v>0.01</v>
      </c>
      <c r="AD96" s="2">
        <v>9087.23</v>
      </c>
      <c r="AE96" s="2">
        <v>0</v>
      </c>
      <c r="AF96" s="2">
        <v>0.04</v>
      </c>
      <c r="AG96" s="2">
        <v>3240.91</v>
      </c>
      <c r="AH96" s="2">
        <v>325.72000000000003</v>
      </c>
      <c r="AI96" s="2">
        <v>1.37</v>
      </c>
      <c r="AJ96" s="2">
        <v>0</v>
      </c>
      <c r="AK96" s="2">
        <v>0</v>
      </c>
    </row>
    <row r="97" spans="1:37" ht="12.75" customHeight="1" x14ac:dyDescent="0.35">
      <c r="A97" s="2" t="s">
        <v>33</v>
      </c>
      <c r="B97" s="11">
        <v>85688.18</v>
      </c>
      <c r="C97" s="11">
        <v>85888.07</v>
      </c>
      <c r="D97" s="11">
        <v>96804.76</v>
      </c>
      <c r="E97" s="11">
        <v>107147.99</v>
      </c>
      <c r="F97" s="11">
        <v>123699.89</v>
      </c>
      <c r="G97" s="11">
        <v>143412.01</v>
      </c>
      <c r="H97" s="11">
        <v>172740.62</v>
      </c>
      <c r="I97" s="11">
        <v>190259.66</v>
      </c>
      <c r="J97" s="11">
        <v>194303.92</v>
      </c>
      <c r="K97" s="11">
        <v>199577.42</v>
      </c>
      <c r="L97" s="33"/>
      <c r="M97" s="15"/>
      <c r="N97" s="2" t="s">
        <v>68</v>
      </c>
      <c r="O97" s="2">
        <v>8</v>
      </c>
      <c r="P97" s="2">
        <v>10</v>
      </c>
      <c r="Q97" s="2">
        <v>10</v>
      </c>
      <c r="R97" s="2">
        <v>13</v>
      </c>
      <c r="S97" s="2">
        <v>10</v>
      </c>
      <c r="T97" s="2">
        <v>25</v>
      </c>
      <c r="U97" s="2">
        <v>51</v>
      </c>
      <c r="V97" s="2">
        <v>3.6</v>
      </c>
      <c r="W97" s="2">
        <v>3.6</v>
      </c>
      <c r="X97" s="2">
        <v>3.6</v>
      </c>
      <c r="Y97" s="29"/>
      <c r="Z97" s="15"/>
      <c r="AA97" s="2" t="s">
        <v>107</v>
      </c>
      <c r="AB97" s="2">
        <v>0</v>
      </c>
      <c r="AC97" s="2">
        <v>0</v>
      </c>
      <c r="AD97" s="2">
        <v>0</v>
      </c>
      <c r="AE97" s="2">
        <v>5911.02</v>
      </c>
      <c r="AF97" s="2">
        <v>5052.88</v>
      </c>
      <c r="AG97" s="2">
        <v>9777.19</v>
      </c>
      <c r="AH97" s="2">
        <v>36.880000000000003</v>
      </c>
      <c r="AI97" s="2">
        <v>16628.55</v>
      </c>
      <c r="AJ97" s="2">
        <v>9696.09</v>
      </c>
      <c r="AK97" s="2">
        <v>19463.73</v>
      </c>
    </row>
    <row r="98" spans="1:37" ht="12.75" customHeight="1" x14ac:dyDescent="0.35">
      <c r="A98" s="2" t="s">
        <v>34</v>
      </c>
      <c r="B98" s="11">
        <v>21085.56</v>
      </c>
      <c r="C98" s="11">
        <v>22165.31</v>
      </c>
      <c r="D98" s="11">
        <v>24083.82</v>
      </c>
      <c r="E98" s="11">
        <v>28295.62</v>
      </c>
      <c r="F98" s="11">
        <v>24969.62</v>
      </c>
      <c r="G98" s="11">
        <v>33565.69</v>
      </c>
      <c r="H98" s="11">
        <v>39147.660000000003</v>
      </c>
      <c r="I98" s="11">
        <v>63785.04</v>
      </c>
      <c r="J98" s="11">
        <v>40112.449999999997</v>
      </c>
      <c r="K98" s="11">
        <v>16823.37</v>
      </c>
      <c r="L98" s="33"/>
      <c r="M98" s="15"/>
      <c r="N98" s="2" t="s">
        <v>69</v>
      </c>
      <c r="O98" s="2">
        <v>9.84</v>
      </c>
      <c r="P98" s="2">
        <v>35.46</v>
      </c>
      <c r="Q98" s="2">
        <v>36.380000000000003</v>
      </c>
      <c r="R98" s="2">
        <v>91.9</v>
      </c>
      <c r="S98" s="2">
        <v>58.84</v>
      </c>
      <c r="T98" s="2">
        <v>142.46</v>
      </c>
      <c r="U98" s="2">
        <v>270.06</v>
      </c>
      <c r="V98" s="2">
        <v>12.01</v>
      </c>
      <c r="W98" s="2">
        <v>12.54</v>
      </c>
      <c r="X98" s="2">
        <v>11.19</v>
      </c>
      <c r="Y98" s="29"/>
      <c r="Z98" s="15"/>
      <c r="AA98" s="2" t="s">
        <v>108</v>
      </c>
      <c r="AB98" s="2">
        <v>0</v>
      </c>
      <c r="AC98" s="2">
        <v>0</v>
      </c>
      <c r="AD98" s="2">
        <v>0</v>
      </c>
      <c r="AE98" s="2">
        <v>0</v>
      </c>
      <c r="AF98" s="2">
        <v>7846.07</v>
      </c>
      <c r="AG98" s="2">
        <v>0</v>
      </c>
      <c r="AH98" s="2">
        <v>8794.2099999999991</v>
      </c>
      <c r="AI98" s="2">
        <v>0</v>
      </c>
      <c r="AJ98" s="2">
        <v>0</v>
      </c>
      <c r="AK98" s="2">
        <v>3562.72</v>
      </c>
    </row>
    <row r="99" spans="1:37" ht="12.7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2" t="s">
        <v>70</v>
      </c>
      <c r="O99" s="2">
        <v>0.94</v>
      </c>
      <c r="P99" s="2">
        <v>3.38</v>
      </c>
      <c r="Q99" s="2">
        <v>3.64</v>
      </c>
      <c r="R99" s="2">
        <v>9.19</v>
      </c>
      <c r="S99" s="2">
        <v>5.88</v>
      </c>
      <c r="T99" s="2">
        <v>14.25</v>
      </c>
      <c r="U99" s="2">
        <v>27.01</v>
      </c>
      <c r="V99" s="2">
        <v>12.01</v>
      </c>
      <c r="W99" s="2">
        <v>12.54</v>
      </c>
      <c r="X99" s="2">
        <v>11.19</v>
      </c>
      <c r="Y99" s="29"/>
      <c r="Z99" s="15"/>
      <c r="AA99" s="2" t="s">
        <v>109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</row>
    <row r="100" spans="1:37" ht="12.7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" t="s">
        <v>71</v>
      </c>
      <c r="O100" s="2">
        <v>480.1</v>
      </c>
      <c r="P100" s="2">
        <v>472.56</v>
      </c>
      <c r="Q100" s="2">
        <v>535.82000000000005</v>
      </c>
      <c r="R100" s="2">
        <v>614.24</v>
      </c>
      <c r="S100" s="2">
        <v>652.21</v>
      </c>
      <c r="T100" s="2">
        <v>785.21</v>
      </c>
      <c r="U100" s="11">
        <v>1019.17</v>
      </c>
      <c r="V100" s="2">
        <v>111.2</v>
      </c>
      <c r="W100" s="2">
        <v>120.57</v>
      </c>
      <c r="X100" s="2">
        <v>127.98</v>
      </c>
      <c r="Y100" s="29"/>
      <c r="Z100" s="15"/>
      <c r="AA100" s="2" t="s">
        <v>111</v>
      </c>
      <c r="AB100" s="2">
        <v>0</v>
      </c>
      <c r="AC100" s="2">
        <v>0</v>
      </c>
      <c r="AD100" s="2">
        <v>0</v>
      </c>
      <c r="AE100" s="2">
        <v>-4448.0600000000004</v>
      </c>
      <c r="AF100" s="2">
        <v>-2866.18</v>
      </c>
      <c r="AG100" s="2">
        <v>-20275.68</v>
      </c>
      <c r="AH100" s="2">
        <v>-9380.7199999999993</v>
      </c>
      <c r="AI100" s="2">
        <v>-2904.3</v>
      </c>
      <c r="AJ100" s="2">
        <v>-7143.01</v>
      </c>
      <c r="AK100" s="2">
        <v>-3931.48</v>
      </c>
    </row>
    <row r="101" spans="1:37" ht="12.75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2" t="s">
        <v>72</v>
      </c>
      <c r="O101" s="2">
        <v>45.74</v>
      </c>
      <c r="P101" s="2">
        <v>45.03</v>
      </c>
      <c r="Q101" s="2">
        <v>53.58</v>
      </c>
      <c r="R101" s="2">
        <v>61.42</v>
      </c>
      <c r="S101" s="2">
        <v>65.22</v>
      </c>
      <c r="T101" s="2">
        <v>78.52</v>
      </c>
      <c r="U101" s="2">
        <v>101.92</v>
      </c>
      <c r="V101" s="2">
        <v>111.2</v>
      </c>
      <c r="W101" s="2">
        <v>120.57</v>
      </c>
      <c r="X101" s="2">
        <v>127.98</v>
      </c>
      <c r="Y101" s="29"/>
      <c r="Z101" s="15"/>
      <c r="AA101" s="2" t="s">
        <v>112</v>
      </c>
      <c r="AB101" s="2">
        <v>0</v>
      </c>
      <c r="AC101" s="2">
        <v>0</v>
      </c>
      <c r="AD101" s="2">
        <v>0</v>
      </c>
      <c r="AE101" s="2">
        <v>-26.35</v>
      </c>
      <c r="AF101" s="2">
        <v>0</v>
      </c>
      <c r="AG101" s="2">
        <v>-8447.6</v>
      </c>
      <c r="AH101" s="2">
        <v>0</v>
      </c>
      <c r="AI101" s="2">
        <v>-8109.16</v>
      </c>
      <c r="AJ101" s="2">
        <v>-1003.5</v>
      </c>
      <c r="AK101" s="2">
        <v>0</v>
      </c>
    </row>
    <row r="102" spans="1:37" ht="12.75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2" t="s">
        <v>73</v>
      </c>
      <c r="O102" s="2">
        <v>0.76</v>
      </c>
      <c r="P102" s="2">
        <v>0.95</v>
      </c>
      <c r="Q102" s="2">
        <v>1</v>
      </c>
      <c r="R102" s="2">
        <v>1.3</v>
      </c>
      <c r="S102" s="2">
        <v>1</v>
      </c>
      <c r="T102" s="2">
        <v>2.5</v>
      </c>
      <c r="U102" s="2">
        <v>5.0999999999999996</v>
      </c>
      <c r="V102" s="2">
        <v>3.6</v>
      </c>
      <c r="W102" s="2">
        <v>3.6</v>
      </c>
      <c r="X102" s="2">
        <v>3.6</v>
      </c>
      <c r="Y102" s="29"/>
      <c r="Z102" s="15"/>
      <c r="AA102" s="2" t="s">
        <v>113</v>
      </c>
      <c r="AB102" s="2">
        <v>-82.82</v>
      </c>
      <c r="AC102" s="2">
        <v>-111.63</v>
      </c>
      <c r="AD102" s="2">
        <v>-108.14</v>
      </c>
      <c r="AE102" s="2">
        <v>-89.25</v>
      </c>
      <c r="AF102" s="2">
        <v>-260.66000000000003</v>
      </c>
      <c r="AG102" s="2">
        <v>-488.39</v>
      </c>
      <c r="AH102" s="2">
        <v>-483.03</v>
      </c>
      <c r="AI102" s="2">
        <v>-514.30999999999995</v>
      </c>
      <c r="AJ102" s="2">
        <v>-539.08000000000004</v>
      </c>
      <c r="AK102" s="2">
        <v>-503.45</v>
      </c>
    </row>
    <row r="103" spans="1:37" ht="12.75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 t="s">
        <v>127</v>
      </c>
      <c r="O103" s="59">
        <f>O85+O82</f>
        <v>3391.39</v>
      </c>
      <c r="P103" s="59">
        <f t="shared" ref="P103:X103" si="1">P85+P82</f>
        <v>8045.4800000000005</v>
      </c>
      <c r="Q103" s="59">
        <f t="shared" si="1"/>
        <v>9448.869999999999</v>
      </c>
      <c r="R103" s="59">
        <f t="shared" si="1"/>
        <v>19050.830000000002</v>
      </c>
      <c r="S103" s="59">
        <f t="shared" si="1"/>
        <v>9641.99</v>
      </c>
      <c r="T103" s="59">
        <f t="shared" si="1"/>
        <v>23150.86</v>
      </c>
      <c r="U103" s="59">
        <f t="shared" si="1"/>
        <v>46882.73</v>
      </c>
      <c r="V103" s="59">
        <f t="shared" si="1"/>
        <v>24064.33</v>
      </c>
      <c r="W103" s="59">
        <f t="shared" si="1"/>
        <v>23605.23</v>
      </c>
      <c r="X103" s="59">
        <f t="shared" si="1"/>
        <v>22957.190000000002</v>
      </c>
      <c r="Y103" s="15"/>
      <c r="Z103" s="15"/>
      <c r="AA103" s="2" t="s">
        <v>114</v>
      </c>
      <c r="AB103" s="2">
        <v>-776.97</v>
      </c>
      <c r="AC103" s="2">
        <v>-776.97</v>
      </c>
      <c r="AD103" s="2">
        <v>-971.22</v>
      </c>
      <c r="AE103" s="2">
        <v>-1145.92</v>
      </c>
      <c r="AF103" s="2">
        <v>-1489.67</v>
      </c>
      <c r="AG103" s="2">
        <v>-1145.92</v>
      </c>
      <c r="AH103" s="2">
        <v>-3007.08</v>
      </c>
      <c r="AI103" s="2">
        <v>-6267.84</v>
      </c>
      <c r="AJ103" s="2">
        <v>-4414</v>
      </c>
      <c r="AK103" s="2">
        <v>-4494.07</v>
      </c>
    </row>
    <row r="104" spans="1:37" ht="12.75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" t="s">
        <v>115</v>
      </c>
      <c r="AB104" s="2">
        <v>-2871.06</v>
      </c>
      <c r="AC104" s="2">
        <v>-2624.51</v>
      </c>
      <c r="AD104" s="2">
        <v>-2769.66</v>
      </c>
      <c r="AE104" s="2">
        <v>-2607.88</v>
      </c>
      <c r="AF104" s="2">
        <v>-3084.03</v>
      </c>
      <c r="AG104" s="2">
        <v>-4311.1000000000004</v>
      </c>
      <c r="AH104" s="2">
        <v>-2868.17</v>
      </c>
      <c r="AI104" s="2">
        <v>-4028.27</v>
      </c>
      <c r="AJ104" s="2">
        <v>-5024.8100000000004</v>
      </c>
      <c r="AK104" s="2">
        <v>-5113.51</v>
      </c>
    </row>
    <row r="105" spans="1:37" ht="12.75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" t="s">
        <v>86</v>
      </c>
      <c r="AB105" s="2">
        <v>1190.4100000000001</v>
      </c>
      <c r="AC105" s="2">
        <v>-3766.61</v>
      </c>
      <c r="AD105" s="2">
        <v>-1072.6300000000001</v>
      </c>
      <c r="AE105" s="2">
        <v>-480.73</v>
      </c>
      <c r="AF105" s="2">
        <v>-568.66</v>
      </c>
      <c r="AG105" s="2">
        <v>-1734.9</v>
      </c>
      <c r="AH105" s="2">
        <v>-785.86</v>
      </c>
      <c r="AI105" s="2">
        <v>1.18</v>
      </c>
      <c r="AJ105" s="2">
        <v>151.34</v>
      </c>
      <c r="AK105" s="2">
        <v>296.94</v>
      </c>
    </row>
    <row r="106" spans="1:37" ht="12.75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" t="s">
        <v>116</v>
      </c>
      <c r="AB106" s="2">
        <v>479.52</v>
      </c>
      <c r="AC106" s="2">
        <v>-69.47</v>
      </c>
      <c r="AD106" s="11">
        <v>3683.68</v>
      </c>
      <c r="AE106" s="11">
        <v>-4044.04</v>
      </c>
      <c r="AF106" s="2">
        <v>448.79</v>
      </c>
      <c r="AG106" s="2">
        <v>504.06</v>
      </c>
      <c r="AH106" s="2">
        <v>450.28</v>
      </c>
      <c r="AI106" s="11">
        <v>-6481.23</v>
      </c>
      <c r="AJ106" s="11">
        <v>3345.49</v>
      </c>
      <c r="AK106" s="11">
        <v>-1444.87</v>
      </c>
    </row>
    <row r="107" spans="1:37" ht="12.7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" t="s">
        <v>117</v>
      </c>
      <c r="AB107" s="2">
        <v>974.68</v>
      </c>
      <c r="AC107" s="2">
        <v>905.21</v>
      </c>
      <c r="AD107" s="11">
        <v>4588.8900000000003</v>
      </c>
      <c r="AE107" s="2">
        <v>544.85</v>
      </c>
      <c r="AF107" s="2">
        <v>993.64</v>
      </c>
      <c r="AG107" s="11">
        <v>2221.31</v>
      </c>
      <c r="AH107" s="11">
        <v>2671.59</v>
      </c>
      <c r="AI107" s="11">
        <v>1185.5999999999999</v>
      </c>
      <c r="AJ107" s="11">
        <v>4556.8</v>
      </c>
      <c r="AK107" s="11">
        <v>3111.93</v>
      </c>
    </row>
    <row r="108" spans="1:37" ht="12.75" customHeight="1" x14ac:dyDescent="0.35"/>
    <row r="109" spans="1:37" ht="12.75" customHeight="1" x14ac:dyDescent="0.35"/>
    <row r="110" spans="1:37" ht="12.75" customHeight="1" x14ac:dyDescent="0.35"/>
    <row r="111" spans="1:37" ht="12.75" customHeight="1" x14ac:dyDescent="0.35"/>
    <row r="112" spans="1:37" ht="12.75" customHeight="1" x14ac:dyDescent="0.35"/>
    <row r="113" spans="1:37" ht="12.75" customHeight="1" x14ac:dyDescent="0.35"/>
    <row r="114" spans="1:37" ht="23.4" customHeight="1" x14ac:dyDescent="0.35">
      <c r="A114" s="72" t="s">
        <v>123</v>
      </c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</row>
    <row r="115" spans="1:37" ht="12.75" customHeight="1" x14ac:dyDescent="0.35"/>
    <row r="116" spans="1:37" ht="12.75" customHeight="1" x14ac:dyDescent="0.35"/>
    <row r="117" spans="1:37" ht="12.75" customHeight="1" x14ac:dyDescent="0.35"/>
    <row r="118" spans="1:37" ht="12.75" customHeight="1" x14ac:dyDescent="0.35">
      <c r="A118" s="9" t="s">
        <v>118</v>
      </c>
      <c r="B118" s="35"/>
      <c r="C118" s="27"/>
      <c r="D118" s="25"/>
      <c r="E118" s="25"/>
      <c r="F118" s="25"/>
      <c r="G118" s="25"/>
      <c r="H118" s="25"/>
      <c r="I118" s="25"/>
      <c r="J118" s="25"/>
      <c r="K118" s="25"/>
      <c r="L118" s="15"/>
      <c r="M118" s="15"/>
      <c r="N118" s="9" t="s">
        <v>119</v>
      </c>
      <c r="O118" s="35"/>
      <c r="P118" s="27"/>
      <c r="Q118" s="25"/>
      <c r="R118" s="25"/>
      <c r="S118" s="25"/>
      <c r="T118" s="25"/>
      <c r="U118" s="25"/>
      <c r="V118" s="25"/>
      <c r="W118" s="25"/>
      <c r="X118" s="25"/>
      <c r="Y118" s="15"/>
      <c r="Z118" s="15"/>
      <c r="AA118" s="15" t="s">
        <v>120</v>
      </c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</row>
    <row r="119" spans="1:37" ht="12.75" customHeight="1" x14ac:dyDescent="0.35">
      <c r="A119" s="10" t="s">
        <v>1</v>
      </c>
      <c r="B119" s="32">
        <v>201603</v>
      </c>
      <c r="C119" s="32">
        <v>201703</v>
      </c>
      <c r="D119" s="32">
        <v>201803</v>
      </c>
      <c r="E119" s="32">
        <v>201903</v>
      </c>
      <c r="F119" s="32">
        <v>202003</v>
      </c>
      <c r="G119" s="32">
        <v>202103</v>
      </c>
      <c r="H119" s="32">
        <v>202203</v>
      </c>
      <c r="I119" s="32">
        <v>202303</v>
      </c>
      <c r="J119" s="32">
        <v>202403</v>
      </c>
      <c r="K119" s="32">
        <v>202503</v>
      </c>
      <c r="L119" s="15"/>
      <c r="M119" s="15"/>
      <c r="N119" s="10" t="s">
        <v>1</v>
      </c>
      <c r="O119" s="32">
        <v>201603</v>
      </c>
      <c r="P119" s="32">
        <v>201703</v>
      </c>
      <c r="Q119" s="32">
        <v>201803</v>
      </c>
      <c r="R119" s="32">
        <v>201903</v>
      </c>
      <c r="S119" s="32">
        <v>202003</v>
      </c>
      <c r="T119" s="32">
        <v>202103</v>
      </c>
      <c r="U119" s="32">
        <v>202203</v>
      </c>
      <c r="V119" s="32">
        <v>202303</v>
      </c>
      <c r="W119" s="32">
        <v>202403</v>
      </c>
      <c r="X119" s="32">
        <v>202503</v>
      </c>
      <c r="Y119" s="15"/>
      <c r="Z119" s="15"/>
      <c r="AA119" s="15" t="s">
        <v>1</v>
      </c>
      <c r="AB119" s="19">
        <v>201603</v>
      </c>
      <c r="AC119" s="19">
        <v>201703</v>
      </c>
      <c r="AD119" s="19">
        <v>201803</v>
      </c>
      <c r="AE119" s="19">
        <v>201903</v>
      </c>
      <c r="AF119" s="19">
        <v>202003</v>
      </c>
      <c r="AG119" s="19">
        <v>202103</v>
      </c>
      <c r="AH119" s="19">
        <v>202203</v>
      </c>
      <c r="AI119" s="19">
        <v>202303</v>
      </c>
      <c r="AJ119" s="19">
        <v>202403</v>
      </c>
      <c r="AK119" s="19">
        <v>202503</v>
      </c>
    </row>
    <row r="120" spans="1:37" ht="12.75" customHeight="1" x14ac:dyDescent="0.35">
      <c r="A120" s="2" t="s">
        <v>2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5"/>
      <c r="M120" s="15"/>
      <c r="N120" s="2" t="s">
        <v>36</v>
      </c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15"/>
      <c r="Z120" s="15"/>
      <c r="AA120" s="15" t="s">
        <v>75</v>
      </c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</row>
    <row r="121" spans="1:37" ht="12.75" customHeight="1" x14ac:dyDescent="0.35">
      <c r="A121" s="2" t="s">
        <v>3</v>
      </c>
      <c r="B121" s="18">
        <v>4130.53</v>
      </c>
      <c r="C121" s="18">
        <v>4130.53</v>
      </c>
      <c r="D121" s="18">
        <v>4130.53</v>
      </c>
      <c r="E121" s="18">
        <v>4130.53</v>
      </c>
      <c r="F121" s="18">
        <v>4130.53</v>
      </c>
      <c r="G121" s="18">
        <v>4130.53</v>
      </c>
      <c r="H121" s="18">
        <v>4130.53</v>
      </c>
      <c r="I121" s="18">
        <v>4130.53</v>
      </c>
      <c r="J121" s="18">
        <v>4130.53</v>
      </c>
      <c r="K121" s="18">
        <v>4130.53</v>
      </c>
      <c r="L121" s="15"/>
      <c r="M121" s="15"/>
      <c r="N121" s="2" t="s">
        <v>37</v>
      </c>
      <c r="O121" s="18">
        <v>43875.17</v>
      </c>
      <c r="P121" s="18">
        <v>49767.1</v>
      </c>
      <c r="Q121" s="18">
        <v>58962.36</v>
      </c>
      <c r="R121" s="18">
        <v>66967.31</v>
      </c>
      <c r="S121" s="18">
        <v>61660.55</v>
      </c>
      <c r="T121" s="18">
        <v>69110.02</v>
      </c>
      <c r="U121" s="18">
        <v>103473.32</v>
      </c>
      <c r="V121" s="18">
        <v>104447.36</v>
      </c>
      <c r="W121" s="18">
        <v>105374.59</v>
      </c>
      <c r="X121" s="18">
        <v>102478.19</v>
      </c>
      <c r="Y121" s="15"/>
      <c r="Z121" s="15"/>
      <c r="AA121" s="15" t="s">
        <v>76</v>
      </c>
      <c r="AB121" s="19">
        <v>148.16999999999999</v>
      </c>
      <c r="AC121" s="19">
        <v>132.44</v>
      </c>
      <c r="AD121" s="19">
        <v>120.93</v>
      </c>
      <c r="AE121" s="19">
        <v>79.45</v>
      </c>
      <c r="AF121" s="19">
        <v>34.590000000000003</v>
      </c>
      <c r="AG121" s="19">
        <v>153.43</v>
      </c>
      <c r="AH121" s="19">
        <v>468.4</v>
      </c>
      <c r="AI121" s="19">
        <v>59.76</v>
      </c>
      <c r="AJ121" s="19">
        <v>6.44</v>
      </c>
      <c r="AK121" s="19">
        <v>13.73</v>
      </c>
    </row>
    <row r="122" spans="1:37" ht="12.75" customHeight="1" x14ac:dyDescent="0.35">
      <c r="A122" s="2" t="s">
        <v>4</v>
      </c>
      <c r="B122" s="18">
        <v>35065.370000000003</v>
      </c>
      <c r="C122" s="18">
        <v>31878.53</v>
      </c>
      <c r="D122" s="18">
        <v>31583.14</v>
      </c>
      <c r="E122" s="18">
        <v>34021.040000000001</v>
      </c>
      <c r="F122" s="18">
        <v>35646.85</v>
      </c>
      <c r="G122" s="18">
        <v>39364.35</v>
      </c>
      <c r="H122" s="18">
        <v>47886.61</v>
      </c>
      <c r="I122" s="18">
        <v>48008.65</v>
      </c>
      <c r="J122" s="18">
        <v>50000.01</v>
      </c>
      <c r="K122" s="18">
        <v>51525.88</v>
      </c>
      <c r="L122" s="15"/>
      <c r="M122" s="15"/>
      <c r="N122" s="2" t="s">
        <v>39</v>
      </c>
      <c r="O122" s="18">
        <v>38746.480000000003</v>
      </c>
      <c r="P122" s="18">
        <v>44452.41</v>
      </c>
      <c r="Q122" s="18">
        <v>57558.46</v>
      </c>
      <c r="R122" s="18">
        <v>66967.31</v>
      </c>
      <c r="S122" s="18">
        <v>61660.55</v>
      </c>
      <c r="T122" s="18">
        <v>69110.02</v>
      </c>
      <c r="U122" s="18">
        <v>103473.32</v>
      </c>
      <c r="V122" s="18">
        <v>104447.36</v>
      </c>
      <c r="W122" s="18">
        <v>105374.59</v>
      </c>
      <c r="X122" s="18">
        <v>102478.19</v>
      </c>
      <c r="Y122" s="15"/>
      <c r="Z122" s="15"/>
      <c r="AA122" s="15" t="s">
        <v>77</v>
      </c>
      <c r="AB122" s="31">
        <v>3799.71</v>
      </c>
      <c r="AC122" s="31">
        <v>2125.0300000000002</v>
      </c>
      <c r="AD122" s="31">
        <v>6157.81</v>
      </c>
      <c r="AE122" s="31">
        <v>7301.57</v>
      </c>
      <c r="AF122" s="19">
        <v>-650.57000000000005</v>
      </c>
      <c r="AG122" s="31">
        <v>23395.88</v>
      </c>
      <c r="AH122" s="31">
        <v>30963.599999999999</v>
      </c>
      <c r="AI122" s="31">
        <v>-5406.49</v>
      </c>
      <c r="AJ122" s="31">
        <v>2933.19</v>
      </c>
      <c r="AK122" s="31">
        <v>9888.34</v>
      </c>
    </row>
    <row r="123" spans="1:37" ht="12.75" customHeight="1" x14ac:dyDescent="0.35">
      <c r="A123" s="2" t="s">
        <v>5</v>
      </c>
      <c r="B123" s="18">
        <v>39195.9</v>
      </c>
      <c r="C123" s="18">
        <v>36009.06</v>
      </c>
      <c r="D123" s="18">
        <v>35713.67</v>
      </c>
      <c r="E123" s="18">
        <v>38151.57</v>
      </c>
      <c r="F123" s="18">
        <v>39777.379999999997</v>
      </c>
      <c r="G123" s="18">
        <v>43494.879999999997</v>
      </c>
      <c r="H123" s="18">
        <v>52017.14</v>
      </c>
      <c r="I123" s="18">
        <v>52139.18</v>
      </c>
      <c r="J123" s="18">
        <v>54130.54</v>
      </c>
      <c r="K123" s="18">
        <v>55656.41</v>
      </c>
      <c r="L123" s="15"/>
      <c r="M123" s="15"/>
      <c r="N123" s="2" t="s">
        <v>40</v>
      </c>
      <c r="O123" s="26">
        <v>594.66999999999996</v>
      </c>
      <c r="P123" s="26">
        <v>535.61</v>
      </c>
      <c r="Q123" s="18">
        <v>1315.19</v>
      </c>
      <c r="R123" s="26">
        <v>532.82000000000005</v>
      </c>
      <c r="S123" s="26">
        <v>986.68</v>
      </c>
      <c r="T123" s="18">
        <v>1341.36</v>
      </c>
      <c r="U123" s="18">
        <v>1042.03</v>
      </c>
      <c r="V123" s="18">
        <v>1657.76</v>
      </c>
      <c r="W123" s="18">
        <v>1148.48</v>
      </c>
      <c r="X123" s="18">
        <v>1243.4100000000001</v>
      </c>
      <c r="Y123" s="15"/>
      <c r="Z123" s="15"/>
      <c r="AA123" s="15" t="s">
        <v>78</v>
      </c>
      <c r="AB123" s="19">
        <v>-7007.5</v>
      </c>
      <c r="AC123" s="19">
        <v>-4850.8599999999997</v>
      </c>
      <c r="AD123" s="19">
        <v>-758.94</v>
      </c>
      <c r="AE123" s="19">
        <v>3337.89</v>
      </c>
      <c r="AF123" s="19">
        <v>3170.66</v>
      </c>
      <c r="AG123" s="19">
        <v>6879.03</v>
      </c>
      <c r="AH123" s="19">
        <v>16038.72</v>
      </c>
      <c r="AI123" s="19">
        <v>2636.91</v>
      </c>
      <c r="AJ123" s="19">
        <v>3687.67</v>
      </c>
      <c r="AK123" s="19">
        <v>3008.82</v>
      </c>
    </row>
    <row r="124" spans="1:37" ht="18.5" x14ac:dyDescent="0.35">
      <c r="A124" s="2" t="s">
        <v>6</v>
      </c>
      <c r="B124" s="18">
        <v>16134.04</v>
      </c>
      <c r="C124" s="18">
        <v>18416.09</v>
      </c>
      <c r="D124" s="18">
        <v>30180.65</v>
      </c>
      <c r="E124" s="18">
        <v>32422.83</v>
      </c>
      <c r="F124" s="18">
        <v>36276.83</v>
      </c>
      <c r="G124" s="18">
        <v>20889.419999999998</v>
      </c>
      <c r="H124" s="18">
        <v>10949.98</v>
      </c>
      <c r="I124" s="18">
        <v>9590.68</v>
      </c>
      <c r="J124" s="18">
        <v>12948.15</v>
      </c>
      <c r="K124" s="18">
        <v>16352.33</v>
      </c>
      <c r="L124" s="15"/>
      <c r="M124" s="15"/>
      <c r="N124" s="2" t="s">
        <v>41</v>
      </c>
      <c r="O124" s="26">
        <v>-540.61</v>
      </c>
      <c r="P124" s="26">
        <v>-120.63</v>
      </c>
      <c r="Q124" s="18">
        <v>-1135.49</v>
      </c>
      <c r="R124" s="18">
        <v>2716.62</v>
      </c>
      <c r="S124" s="18">
        <v>5555.82</v>
      </c>
      <c r="T124" s="18">
        <v>-4268.58</v>
      </c>
      <c r="U124" s="26">
        <v>284.99</v>
      </c>
      <c r="V124" s="18">
        <v>5160.1400000000003</v>
      </c>
      <c r="W124" s="18">
        <v>3352.92</v>
      </c>
      <c r="X124" s="26">
        <v>-92.13</v>
      </c>
      <c r="Y124" s="15"/>
      <c r="Z124" s="15"/>
      <c r="AA124" s="15" t="s">
        <v>79</v>
      </c>
      <c r="AB124" s="19">
        <v>2402.35</v>
      </c>
      <c r="AC124" s="19">
        <v>2679.95</v>
      </c>
      <c r="AD124" s="19">
        <v>3064.92</v>
      </c>
      <c r="AE124" s="19">
        <v>3384.72</v>
      </c>
      <c r="AF124" s="19">
        <v>3755.05</v>
      </c>
      <c r="AG124" s="19">
        <v>4102</v>
      </c>
      <c r="AH124" s="19">
        <v>4274.17</v>
      </c>
      <c r="AI124" s="19">
        <v>4953.42</v>
      </c>
      <c r="AJ124" s="19">
        <v>5277.45</v>
      </c>
      <c r="AK124" s="19">
        <v>5649.57</v>
      </c>
    </row>
    <row r="125" spans="1:37" ht="18.5" x14ac:dyDescent="0.35">
      <c r="A125" s="2" t="s">
        <v>7</v>
      </c>
      <c r="B125" s="18">
        <v>18845.75</v>
      </c>
      <c r="C125" s="18">
        <v>22979.56</v>
      </c>
      <c r="D125" s="18">
        <v>15228.07</v>
      </c>
      <c r="E125" s="18">
        <v>12747.21</v>
      </c>
      <c r="F125" s="18">
        <v>17850.22</v>
      </c>
      <c r="G125" s="18">
        <v>16787.16</v>
      </c>
      <c r="H125" s="18">
        <v>6334.12</v>
      </c>
      <c r="I125" s="18">
        <v>21182.71</v>
      </c>
      <c r="J125" s="18">
        <v>23366.82</v>
      </c>
      <c r="K125" s="18">
        <v>20581.599999999999</v>
      </c>
      <c r="L125" s="15"/>
      <c r="M125" s="15"/>
      <c r="N125" s="2" t="s">
        <v>42</v>
      </c>
      <c r="O125" s="18">
        <v>38800.54</v>
      </c>
      <c r="P125" s="18">
        <v>44867.39</v>
      </c>
      <c r="Q125" s="18">
        <v>57738.16</v>
      </c>
      <c r="R125" s="18">
        <v>70216.75</v>
      </c>
      <c r="S125" s="18">
        <v>68203.05</v>
      </c>
      <c r="T125" s="18">
        <v>66182.8</v>
      </c>
      <c r="U125" s="18">
        <v>104800.34</v>
      </c>
      <c r="V125" s="18">
        <v>111265.26</v>
      </c>
      <c r="W125" s="18">
        <v>109875.99</v>
      </c>
      <c r="X125" s="18">
        <v>103629.47</v>
      </c>
      <c r="Y125" s="15"/>
      <c r="Z125" s="15"/>
      <c r="AA125" s="15" t="s">
        <v>80</v>
      </c>
      <c r="AB125" s="19">
        <v>2118.21</v>
      </c>
      <c r="AC125" s="19">
        <v>2527.7199999999998</v>
      </c>
      <c r="AD125" s="19">
        <v>2656.66</v>
      </c>
      <c r="AE125" s="19">
        <v>3030.97</v>
      </c>
      <c r="AF125" s="19">
        <v>3247.47</v>
      </c>
      <c r="AG125" s="19">
        <v>2554.64</v>
      </c>
      <c r="AH125" s="19">
        <v>1327.81</v>
      </c>
      <c r="AI125" s="19">
        <v>1755.38</v>
      </c>
      <c r="AJ125" s="19">
        <v>2167.36</v>
      </c>
      <c r="AK125" s="19">
        <v>2487.62</v>
      </c>
    </row>
    <row r="126" spans="1:37" ht="18.5" x14ac:dyDescent="0.35">
      <c r="A126" s="2" t="s">
        <v>8</v>
      </c>
      <c r="B126" s="18">
        <v>34979.79</v>
      </c>
      <c r="C126" s="18">
        <v>41395.65</v>
      </c>
      <c r="D126" s="18">
        <v>45408.72</v>
      </c>
      <c r="E126" s="18">
        <v>45170.04</v>
      </c>
      <c r="F126" s="18">
        <v>54127.05</v>
      </c>
      <c r="G126" s="18">
        <v>37676.58</v>
      </c>
      <c r="H126" s="18">
        <v>17284.099999999999</v>
      </c>
      <c r="I126" s="18">
        <v>30773.39</v>
      </c>
      <c r="J126" s="18">
        <v>36314.97</v>
      </c>
      <c r="K126" s="18">
        <v>36933.93</v>
      </c>
      <c r="L126" s="15"/>
      <c r="M126" s="15"/>
      <c r="N126" s="2" t="s">
        <v>43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15"/>
      <c r="Z126" s="15"/>
      <c r="AA126" s="15" t="s">
        <v>81</v>
      </c>
      <c r="AB126" s="19">
        <v>-70.849999999999994</v>
      </c>
      <c r="AC126" s="19">
        <v>-91.93</v>
      </c>
      <c r="AD126" s="19">
        <v>-76.16</v>
      </c>
      <c r="AE126" s="19">
        <v>-44.44</v>
      </c>
      <c r="AF126" s="19">
        <v>-86.65</v>
      </c>
      <c r="AG126" s="19">
        <v>-160.81</v>
      </c>
      <c r="AH126" s="19">
        <v>-192.99</v>
      </c>
      <c r="AI126" s="19">
        <v>-419.64</v>
      </c>
      <c r="AJ126" s="19">
        <v>-168.81</v>
      </c>
      <c r="AK126" s="19">
        <v>-273.18</v>
      </c>
    </row>
    <row r="127" spans="1:37" ht="18.5" x14ac:dyDescent="0.35">
      <c r="A127" s="2" t="s">
        <v>9</v>
      </c>
      <c r="B127" s="18">
        <v>4963.78</v>
      </c>
      <c r="C127" s="18">
        <v>5118.5200000000004</v>
      </c>
      <c r="D127" s="18">
        <v>5297.35</v>
      </c>
      <c r="E127" s="18">
        <v>5886.04</v>
      </c>
      <c r="F127" s="18">
        <v>5808.56</v>
      </c>
      <c r="G127" s="18">
        <v>6196.93</v>
      </c>
      <c r="H127" s="18">
        <v>9404.1200000000008</v>
      </c>
      <c r="I127" s="18">
        <v>9673.48</v>
      </c>
      <c r="J127" s="18">
        <v>8994.7800000000007</v>
      </c>
      <c r="K127" s="18">
        <v>8026.17</v>
      </c>
      <c r="L127" s="15"/>
      <c r="M127" s="15"/>
      <c r="N127" s="2" t="s">
        <v>44</v>
      </c>
      <c r="O127" s="18">
        <v>17155.23</v>
      </c>
      <c r="P127" s="18">
        <v>21125.7</v>
      </c>
      <c r="Q127" s="18">
        <v>26678.81</v>
      </c>
      <c r="R127" s="18">
        <v>32290.91</v>
      </c>
      <c r="S127" s="18">
        <v>29212.87</v>
      </c>
      <c r="T127" s="18">
        <v>23136.17</v>
      </c>
      <c r="U127" s="18">
        <v>42776.46</v>
      </c>
      <c r="V127" s="18">
        <v>62091.1</v>
      </c>
      <c r="W127" s="18">
        <v>57618.84</v>
      </c>
      <c r="X127" s="18">
        <v>50809.87</v>
      </c>
      <c r="Y127" s="15"/>
      <c r="Z127" s="15"/>
      <c r="AA127" s="15" t="s">
        <v>82</v>
      </c>
      <c r="AB127" s="19">
        <v>68.05</v>
      </c>
      <c r="AC127" s="19">
        <v>48.17</v>
      </c>
      <c r="AD127" s="19">
        <v>72.8</v>
      </c>
      <c r="AE127" s="19">
        <v>45.27</v>
      </c>
      <c r="AF127" s="19">
        <v>49.43</v>
      </c>
      <c r="AG127" s="19">
        <v>37.74</v>
      </c>
      <c r="AH127" s="19">
        <v>21.71</v>
      </c>
      <c r="AI127" s="19">
        <v>-49.5</v>
      </c>
      <c r="AJ127" s="19">
        <v>-130</v>
      </c>
      <c r="AK127" s="19">
        <v>43.93</v>
      </c>
    </row>
    <row r="128" spans="1:37" ht="18.5" x14ac:dyDescent="0.35">
      <c r="A128" s="2" t="s">
        <v>10</v>
      </c>
      <c r="B128" s="18">
        <v>79139.47</v>
      </c>
      <c r="C128" s="18">
        <v>82523.23</v>
      </c>
      <c r="D128" s="18">
        <v>86419.74</v>
      </c>
      <c r="E128" s="18">
        <v>89207.65</v>
      </c>
      <c r="F128" s="18">
        <v>99712.99</v>
      </c>
      <c r="G128" s="18">
        <v>87368.39</v>
      </c>
      <c r="H128" s="18">
        <v>78705.36</v>
      </c>
      <c r="I128" s="18">
        <v>92586.05</v>
      </c>
      <c r="J128" s="18">
        <v>99440.29</v>
      </c>
      <c r="K128" s="18">
        <v>100616.51</v>
      </c>
      <c r="L128" s="15"/>
      <c r="M128" s="15"/>
      <c r="N128" s="2" t="s">
        <v>45</v>
      </c>
      <c r="O128" s="18">
        <v>5333.87</v>
      </c>
      <c r="P128" s="18">
        <v>5354.95</v>
      </c>
      <c r="Q128" s="18">
        <v>5925.63</v>
      </c>
      <c r="R128" s="18">
        <v>6181.81</v>
      </c>
      <c r="S128" s="18">
        <v>6333.32</v>
      </c>
      <c r="T128" s="18">
        <v>5855.24</v>
      </c>
      <c r="U128" s="18">
        <v>7131.44</v>
      </c>
      <c r="V128" s="18">
        <v>7857.91</v>
      </c>
      <c r="W128" s="18">
        <v>7714.59</v>
      </c>
      <c r="X128" s="18">
        <v>7896.68</v>
      </c>
      <c r="Y128" s="15"/>
      <c r="Z128" s="15"/>
      <c r="AA128" s="15" t="s">
        <v>83</v>
      </c>
      <c r="AB128" s="19">
        <v>-7.31</v>
      </c>
      <c r="AC128" s="19">
        <v>-0.01</v>
      </c>
      <c r="AD128" s="19">
        <v>0</v>
      </c>
      <c r="AE128" s="19">
        <v>0</v>
      </c>
      <c r="AF128" s="19">
        <v>-0.59</v>
      </c>
      <c r="AG128" s="19">
        <v>-4.47</v>
      </c>
      <c r="AH128" s="19">
        <v>-0.08</v>
      </c>
      <c r="AI128" s="19">
        <v>0</v>
      </c>
      <c r="AJ128" s="19">
        <v>0</v>
      </c>
      <c r="AK128" s="19">
        <v>-0.06</v>
      </c>
    </row>
    <row r="129" spans="1:37" ht="18.5" x14ac:dyDescent="0.35">
      <c r="A129" s="2" t="s">
        <v>11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15"/>
      <c r="M129" s="15"/>
      <c r="N129" s="2" t="s">
        <v>46</v>
      </c>
      <c r="O129" s="18">
        <v>9715.1200000000008</v>
      </c>
      <c r="P129" s="18">
        <v>9164.57</v>
      </c>
      <c r="Q129" s="18">
        <v>9104.27</v>
      </c>
      <c r="R129" s="18">
        <v>8931.06</v>
      </c>
      <c r="S129" s="18">
        <v>8781.32</v>
      </c>
      <c r="T129" s="18">
        <v>10549.64</v>
      </c>
      <c r="U129" s="18">
        <v>12846.24</v>
      </c>
      <c r="V129" s="18">
        <v>12053.62</v>
      </c>
      <c r="W129" s="18">
        <v>11747.92</v>
      </c>
      <c r="X129" s="18">
        <v>11658.54</v>
      </c>
      <c r="Y129" s="15"/>
      <c r="Z129" s="15"/>
      <c r="AA129" s="15" t="s">
        <v>84</v>
      </c>
      <c r="AB129" s="19">
        <v>112.18</v>
      </c>
      <c r="AC129" s="19">
        <v>49.93</v>
      </c>
      <c r="AD129" s="19">
        <v>43.48</v>
      </c>
      <c r="AE129" s="19">
        <v>95.58</v>
      </c>
      <c r="AF129" s="19">
        <v>-117.99</v>
      </c>
      <c r="AG129" s="19">
        <v>-21.15</v>
      </c>
      <c r="AH129" s="19">
        <v>5.34</v>
      </c>
      <c r="AI129" s="19">
        <v>-41.1</v>
      </c>
      <c r="AJ129" s="19">
        <v>-117.28</v>
      </c>
      <c r="AK129" s="19">
        <v>50.88</v>
      </c>
    </row>
    <row r="130" spans="1:37" ht="18.5" x14ac:dyDescent="0.35">
      <c r="A130" s="2" t="s">
        <v>12</v>
      </c>
      <c r="B130" s="18">
        <v>77753.7</v>
      </c>
      <c r="C130" s="18">
        <v>84565.79</v>
      </c>
      <c r="D130" s="18">
        <v>95519.44</v>
      </c>
      <c r="E130" s="18">
        <v>101456.63</v>
      </c>
      <c r="F130" s="18">
        <v>112711.5</v>
      </c>
      <c r="G130" s="18">
        <v>115093.81</v>
      </c>
      <c r="H130" s="18">
        <v>124787.05</v>
      </c>
      <c r="I130" s="18">
        <v>128773.77</v>
      </c>
      <c r="J130" s="18">
        <v>132570.79999999999</v>
      </c>
      <c r="K130" s="18">
        <v>137645.71</v>
      </c>
      <c r="L130" s="15"/>
      <c r="M130" s="15"/>
      <c r="N130" s="2" t="s">
        <v>47</v>
      </c>
      <c r="O130" s="18">
        <v>4315.88</v>
      </c>
      <c r="P130" s="18">
        <v>4972.42</v>
      </c>
      <c r="Q130" s="18">
        <v>4914.1099999999997</v>
      </c>
      <c r="R130" s="18">
        <v>5745.47</v>
      </c>
      <c r="S130" s="18">
        <v>6259.81</v>
      </c>
      <c r="T130" s="18">
        <v>5965.73</v>
      </c>
      <c r="U130" s="18">
        <v>7061.02</v>
      </c>
      <c r="V130" s="18">
        <v>8182.11</v>
      </c>
      <c r="W130" s="18">
        <v>9032.52</v>
      </c>
      <c r="X130" s="18">
        <v>9613.7999999999993</v>
      </c>
      <c r="Y130" s="15"/>
      <c r="Z130" s="15"/>
      <c r="AA130" s="15" t="s">
        <v>87</v>
      </c>
      <c r="AB130" s="19">
        <v>4622.63</v>
      </c>
      <c r="AC130" s="19">
        <v>5213.83</v>
      </c>
      <c r="AD130" s="19">
        <v>5761.7</v>
      </c>
      <c r="AE130" s="19">
        <v>6553.79</v>
      </c>
      <c r="AF130" s="19">
        <v>6946.46</v>
      </c>
      <c r="AG130" s="19">
        <v>6502.48</v>
      </c>
      <c r="AH130" s="19">
        <v>5526.92</v>
      </c>
      <c r="AI130" s="19">
        <v>6198.56</v>
      </c>
      <c r="AJ130" s="19">
        <v>7028.72</v>
      </c>
      <c r="AK130" s="19">
        <v>7958.76</v>
      </c>
    </row>
    <row r="131" spans="1:37" ht="18.5" x14ac:dyDescent="0.35">
      <c r="A131" s="2" t="s">
        <v>13</v>
      </c>
      <c r="B131" s="18">
        <v>31828.63</v>
      </c>
      <c r="C131" s="18">
        <v>34280.32</v>
      </c>
      <c r="D131" s="18">
        <v>36907.89</v>
      </c>
      <c r="E131" s="18">
        <v>40097.42</v>
      </c>
      <c r="F131" s="18">
        <v>43692.46</v>
      </c>
      <c r="G131" s="18">
        <v>47494.05</v>
      </c>
      <c r="H131" s="18">
        <v>51129.88</v>
      </c>
      <c r="I131" s="18">
        <v>55250.02</v>
      </c>
      <c r="J131" s="18">
        <v>60163.21</v>
      </c>
      <c r="K131" s="18">
        <v>64357.56</v>
      </c>
      <c r="L131" s="15"/>
      <c r="M131" s="15"/>
      <c r="N131" s="2" t="s">
        <v>48</v>
      </c>
      <c r="O131" s="18">
        <v>3273.5</v>
      </c>
      <c r="P131" s="18">
        <v>3117.28</v>
      </c>
      <c r="Q131" s="18">
        <v>4510.4399999999996</v>
      </c>
      <c r="R131" s="18">
        <v>5743.85</v>
      </c>
      <c r="S131" s="18">
        <v>5206.71</v>
      </c>
      <c r="T131" s="18">
        <v>5750.25</v>
      </c>
      <c r="U131" s="18">
        <v>11077.78</v>
      </c>
      <c r="V131" s="18">
        <v>8985.7900000000009</v>
      </c>
      <c r="W131" s="18">
        <v>10081.83</v>
      </c>
      <c r="X131" s="18">
        <v>10001.370000000001</v>
      </c>
      <c r="Y131" s="15"/>
      <c r="Z131" s="15"/>
      <c r="AA131" s="15" t="s">
        <v>88</v>
      </c>
      <c r="AB131" s="19">
        <v>-2384.87</v>
      </c>
      <c r="AC131" s="19">
        <v>362.97</v>
      </c>
      <c r="AD131" s="19">
        <v>5002.76</v>
      </c>
      <c r="AE131" s="19">
        <v>9891.68</v>
      </c>
      <c r="AF131" s="19">
        <v>10117.120000000001</v>
      </c>
      <c r="AG131" s="19">
        <v>13381.51</v>
      </c>
      <c r="AH131" s="19">
        <v>21565.64</v>
      </c>
      <c r="AI131" s="19">
        <v>8835.4699999999993</v>
      </c>
      <c r="AJ131" s="19">
        <v>10716.39</v>
      </c>
      <c r="AK131" s="19">
        <v>10967.58</v>
      </c>
    </row>
    <row r="132" spans="1:37" ht="18.5" x14ac:dyDescent="0.35">
      <c r="A132" s="2" t="s">
        <v>15</v>
      </c>
      <c r="B132" s="18">
        <v>45925.07</v>
      </c>
      <c r="C132" s="18">
        <v>50285.47</v>
      </c>
      <c r="D132" s="18">
        <v>58611.55</v>
      </c>
      <c r="E132" s="18">
        <v>61359.21</v>
      </c>
      <c r="F132" s="18">
        <v>69019.039999999994</v>
      </c>
      <c r="G132" s="18">
        <v>67599.759999999995</v>
      </c>
      <c r="H132" s="18">
        <v>73657.17</v>
      </c>
      <c r="I132" s="18">
        <v>73523.75</v>
      </c>
      <c r="J132" s="18">
        <v>72407.59</v>
      </c>
      <c r="K132" s="18">
        <v>73288.149999999994</v>
      </c>
      <c r="L132" s="15"/>
      <c r="M132" s="15"/>
      <c r="N132" s="2" t="s">
        <v>49</v>
      </c>
      <c r="O132" s="18">
        <v>1311.79</v>
      </c>
      <c r="P132" s="26">
        <v>775.56</v>
      </c>
      <c r="Q132" s="18">
        <v>1476.17</v>
      </c>
      <c r="R132" s="18">
        <v>1446.12</v>
      </c>
      <c r="S132" s="18">
        <v>1995.09</v>
      </c>
      <c r="T132" s="18">
        <v>1127.5999999999999</v>
      </c>
      <c r="U132" s="18">
        <v>1896.63</v>
      </c>
      <c r="V132" s="18">
        <v>2456.25</v>
      </c>
      <c r="W132" s="18">
        <v>2240.94</v>
      </c>
      <c r="X132" s="18">
        <v>2197.63</v>
      </c>
      <c r="Y132" s="15"/>
      <c r="Z132" s="15"/>
      <c r="AA132" s="15" t="s">
        <v>89</v>
      </c>
      <c r="AB132" s="19">
        <v>497.51</v>
      </c>
      <c r="AC132" s="19">
        <v>244.95</v>
      </c>
      <c r="AD132" s="19">
        <v>-861.41</v>
      </c>
      <c r="AE132" s="19">
        <v>-676.19</v>
      </c>
      <c r="AF132" s="19">
        <v>-4385.41</v>
      </c>
      <c r="AG132" s="19">
        <v>1617.86</v>
      </c>
      <c r="AH132" s="19">
        <v>3315.92</v>
      </c>
      <c r="AI132" s="19">
        <v>-724.29</v>
      </c>
      <c r="AJ132" s="19">
        <v>-2979.91</v>
      </c>
      <c r="AK132" s="19">
        <v>601.33000000000004</v>
      </c>
    </row>
    <row r="133" spans="1:37" ht="18.5" x14ac:dyDescent="0.35">
      <c r="A133" s="2" t="s">
        <v>16</v>
      </c>
      <c r="B133" s="18">
        <v>24927.22</v>
      </c>
      <c r="C133" s="18">
        <v>23275.39</v>
      </c>
      <c r="D133" s="18">
        <v>18395.43</v>
      </c>
      <c r="E133" s="18">
        <v>16013.5</v>
      </c>
      <c r="F133" s="18">
        <v>8751.56</v>
      </c>
      <c r="G133" s="18">
        <v>8878.48</v>
      </c>
      <c r="H133" s="18">
        <v>4016.72</v>
      </c>
      <c r="I133" s="18">
        <v>4891.3599999999997</v>
      </c>
      <c r="J133" s="18">
        <v>6140.57</v>
      </c>
      <c r="K133" s="18">
        <v>7206.21</v>
      </c>
      <c r="L133" s="15"/>
      <c r="M133" s="15"/>
      <c r="N133" s="2" t="s">
        <v>50</v>
      </c>
      <c r="O133" s="26">
        <v>0.15</v>
      </c>
      <c r="P133" s="26">
        <v>0</v>
      </c>
      <c r="Q133" s="26">
        <v>0</v>
      </c>
      <c r="R133" s="26">
        <v>0</v>
      </c>
      <c r="S133" s="26">
        <v>-1.46</v>
      </c>
      <c r="T133" s="26">
        <v>0</v>
      </c>
      <c r="U133" s="26">
        <v>0</v>
      </c>
      <c r="V133" s="26">
        <v>-1.58</v>
      </c>
      <c r="W133" s="26">
        <v>-0.42</v>
      </c>
      <c r="X133" s="26">
        <v>-0.42</v>
      </c>
      <c r="Y133" s="15"/>
      <c r="Z133" s="15"/>
      <c r="AA133" s="15" t="s">
        <v>90</v>
      </c>
      <c r="AB133" s="19">
        <v>2406.21</v>
      </c>
      <c r="AC133" s="19">
        <v>-1104.7</v>
      </c>
      <c r="AD133" s="19">
        <v>-1402.56</v>
      </c>
      <c r="AE133" s="19">
        <v>-2606.83</v>
      </c>
      <c r="AF133" s="19">
        <v>-4490.8100000000004</v>
      </c>
      <c r="AG133" s="19">
        <v>4094.62</v>
      </c>
      <c r="AH133" s="19">
        <v>-4868.26</v>
      </c>
      <c r="AI133" s="19">
        <v>-8422.7800000000007</v>
      </c>
      <c r="AJ133" s="19">
        <v>-5010.8999999999996</v>
      </c>
      <c r="AK133" s="19">
        <v>3491.54</v>
      </c>
    </row>
    <row r="134" spans="1:37" ht="18.5" x14ac:dyDescent="0.35">
      <c r="A134" s="2" t="s">
        <v>17</v>
      </c>
      <c r="B134" s="18">
        <v>1292.6300000000001</v>
      </c>
      <c r="C134" s="18">
        <v>1395.48</v>
      </c>
      <c r="D134" s="18">
        <v>1491.3</v>
      </c>
      <c r="E134" s="18">
        <v>1584.75</v>
      </c>
      <c r="F134" s="18">
        <v>1584.98</v>
      </c>
      <c r="G134" s="18">
        <v>1595.01</v>
      </c>
      <c r="H134" s="18">
        <v>1624.49</v>
      </c>
      <c r="I134" s="18">
        <v>1672.67</v>
      </c>
      <c r="J134" s="18">
        <v>1694.07</v>
      </c>
      <c r="K134" s="18">
        <v>1758.93</v>
      </c>
      <c r="L134" s="15"/>
      <c r="M134" s="15"/>
      <c r="N134" s="2" t="s">
        <v>51</v>
      </c>
      <c r="O134" s="18">
        <v>41105.24</v>
      </c>
      <c r="P134" s="18">
        <v>44510.48</v>
      </c>
      <c r="Q134" s="18">
        <v>52609.43</v>
      </c>
      <c r="R134" s="18">
        <v>60339.22</v>
      </c>
      <c r="S134" s="18">
        <v>57790.58</v>
      </c>
      <c r="T134" s="18">
        <v>52384.63</v>
      </c>
      <c r="U134" s="18">
        <v>82789.570000000007</v>
      </c>
      <c r="V134" s="18">
        <v>101628.36</v>
      </c>
      <c r="W134" s="18">
        <v>98437.06</v>
      </c>
      <c r="X134" s="18">
        <v>92178.31</v>
      </c>
      <c r="Y134" s="15"/>
      <c r="Z134" s="15"/>
      <c r="AA134" s="15" t="s">
        <v>91</v>
      </c>
      <c r="AB134" s="19">
        <v>402.45</v>
      </c>
      <c r="AC134" s="19">
        <v>1217.02</v>
      </c>
      <c r="AD134" s="19">
        <v>2320.3200000000002</v>
      </c>
      <c r="AE134" s="19">
        <v>-282.07</v>
      </c>
      <c r="AF134" s="19">
        <v>-937.77</v>
      </c>
      <c r="AG134" s="19">
        <v>1715.02</v>
      </c>
      <c r="AH134" s="19">
        <v>8875.9500000000007</v>
      </c>
      <c r="AI134" s="19">
        <v>-2333.67</v>
      </c>
      <c r="AJ134" s="19">
        <v>993.52</v>
      </c>
      <c r="AK134" s="19">
        <v>-4833.84</v>
      </c>
    </row>
    <row r="135" spans="1:37" ht="18.5" x14ac:dyDescent="0.35">
      <c r="A135" s="2" t="s">
        <v>18</v>
      </c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15"/>
      <c r="M135" s="15"/>
      <c r="N135" s="2" t="s">
        <v>52</v>
      </c>
      <c r="O135" s="18">
        <v>-2304.6999999999998</v>
      </c>
      <c r="P135" s="26">
        <v>356.91</v>
      </c>
      <c r="Q135" s="18">
        <v>5128.7299999999996</v>
      </c>
      <c r="R135" s="18">
        <v>9877.5300000000007</v>
      </c>
      <c r="S135" s="18">
        <v>10412.469999999999</v>
      </c>
      <c r="T135" s="18">
        <v>13798.17</v>
      </c>
      <c r="U135" s="18">
        <v>22010.77</v>
      </c>
      <c r="V135" s="18">
        <v>9636.9</v>
      </c>
      <c r="W135" s="18">
        <v>11438.93</v>
      </c>
      <c r="X135" s="18">
        <v>11451.16</v>
      </c>
      <c r="Y135" s="15"/>
      <c r="Z135" s="15"/>
      <c r="AA135" s="15" t="s">
        <v>86</v>
      </c>
      <c r="AB135" s="19">
        <v>2546.62</v>
      </c>
      <c r="AC135" s="19">
        <v>1369.88</v>
      </c>
      <c r="AD135" s="19">
        <v>1057.72</v>
      </c>
      <c r="AE135" s="19">
        <v>939.27</v>
      </c>
      <c r="AF135" s="19">
        <v>-866.65</v>
      </c>
      <c r="AG135" s="19">
        <v>2609.23</v>
      </c>
      <c r="AH135" s="19">
        <v>2157.96</v>
      </c>
      <c r="AI135" s="19">
        <v>-2341.62</v>
      </c>
      <c r="AJ135" s="19">
        <v>-692.47</v>
      </c>
      <c r="AK135" s="19">
        <v>299.13</v>
      </c>
    </row>
    <row r="136" spans="1:37" ht="18.5" x14ac:dyDescent="0.35">
      <c r="A136" s="2" t="s">
        <v>19</v>
      </c>
      <c r="B136" s="18">
        <v>14903.75</v>
      </c>
      <c r="C136" s="18">
        <v>15939.51</v>
      </c>
      <c r="D136" s="18">
        <v>17248.28</v>
      </c>
      <c r="E136" s="18">
        <v>19689.23</v>
      </c>
      <c r="F136" s="18">
        <v>24015.62</v>
      </c>
      <c r="G136" s="18">
        <v>15541.6</v>
      </c>
      <c r="H136" s="18">
        <v>19838.7</v>
      </c>
      <c r="I136" s="18">
        <v>28013.11</v>
      </c>
      <c r="J136" s="18">
        <v>32954.080000000002</v>
      </c>
      <c r="K136" s="18">
        <v>29413.96</v>
      </c>
      <c r="L136" s="15"/>
      <c r="M136" s="15"/>
      <c r="N136" s="2" t="s">
        <v>53</v>
      </c>
      <c r="O136" s="18">
        <v>2300.4499999999998</v>
      </c>
      <c r="P136" s="18">
        <v>2527.8200000000002</v>
      </c>
      <c r="Q136" s="18">
        <v>2822.75</v>
      </c>
      <c r="R136" s="18">
        <v>3154.92</v>
      </c>
      <c r="S136" s="18">
        <v>3486.76</v>
      </c>
      <c r="T136" s="18">
        <v>2817.14</v>
      </c>
      <c r="U136" s="18">
        <v>1697.88</v>
      </c>
      <c r="V136" s="18">
        <v>2037.47</v>
      </c>
      <c r="W136" s="18">
        <v>2473.81</v>
      </c>
      <c r="X136" s="18">
        <v>2792.77</v>
      </c>
      <c r="Y136" s="15"/>
      <c r="Z136" s="15"/>
      <c r="AA136" s="15" t="s">
        <v>92</v>
      </c>
      <c r="AB136" s="19">
        <v>5852.79</v>
      </c>
      <c r="AC136" s="19">
        <v>1727.15</v>
      </c>
      <c r="AD136" s="19">
        <v>1114.07</v>
      </c>
      <c r="AE136" s="19">
        <v>-2625.82</v>
      </c>
      <c r="AF136" s="19">
        <v>-10680.64</v>
      </c>
      <c r="AG136" s="19">
        <v>10036.73</v>
      </c>
      <c r="AH136" s="19">
        <v>9481.57</v>
      </c>
      <c r="AI136" s="19">
        <v>-13822.36</v>
      </c>
      <c r="AJ136" s="19">
        <v>-7689.76</v>
      </c>
      <c r="AK136" s="19">
        <v>-441.84</v>
      </c>
    </row>
    <row r="137" spans="1:37" ht="18.5" x14ac:dyDescent="0.35">
      <c r="A137" s="2" t="s">
        <v>20</v>
      </c>
      <c r="B137" s="18">
        <v>3143.49</v>
      </c>
      <c r="C137" s="18">
        <v>2921.69</v>
      </c>
      <c r="D137" s="18">
        <v>3869.94</v>
      </c>
      <c r="E137" s="18">
        <v>4495.05</v>
      </c>
      <c r="F137" s="18">
        <v>8812.39</v>
      </c>
      <c r="G137" s="18">
        <v>8138.84</v>
      </c>
      <c r="H137" s="18">
        <v>4736.83</v>
      </c>
      <c r="I137" s="18">
        <v>5362.48</v>
      </c>
      <c r="J137" s="18">
        <v>8308.7199999999993</v>
      </c>
      <c r="K137" s="18">
        <v>7557.15</v>
      </c>
      <c r="L137" s="15"/>
      <c r="M137" s="15"/>
      <c r="N137" s="2" t="s">
        <v>54</v>
      </c>
      <c r="O137" s="18">
        <v>-4605.1499999999996</v>
      </c>
      <c r="P137" s="18">
        <v>-2170.91</v>
      </c>
      <c r="Q137" s="18">
        <v>2305.98</v>
      </c>
      <c r="R137" s="18">
        <v>6722.61</v>
      </c>
      <c r="S137" s="18">
        <v>6925.71</v>
      </c>
      <c r="T137" s="18">
        <v>10981.03</v>
      </c>
      <c r="U137" s="18">
        <v>20312.89</v>
      </c>
      <c r="V137" s="18">
        <v>7599.43</v>
      </c>
      <c r="W137" s="18">
        <v>8965.1200000000008</v>
      </c>
      <c r="X137" s="18">
        <v>8658.39</v>
      </c>
      <c r="Y137" s="15"/>
      <c r="Z137" s="15"/>
      <c r="AA137" s="15" t="s">
        <v>93</v>
      </c>
      <c r="AB137" s="19">
        <v>3467.92</v>
      </c>
      <c r="AC137" s="19">
        <v>2090.12</v>
      </c>
      <c r="AD137" s="19">
        <v>6116.83</v>
      </c>
      <c r="AE137" s="19">
        <v>7265.86</v>
      </c>
      <c r="AF137" s="19">
        <v>-563.52</v>
      </c>
      <c r="AG137" s="19">
        <v>23418.240000000002</v>
      </c>
      <c r="AH137" s="19">
        <v>31047.21</v>
      </c>
      <c r="AI137" s="19">
        <v>-4986.8900000000003</v>
      </c>
      <c r="AJ137" s="19">
        <v>3026.63</v>
      </c>
      <c r="AK137" s="19">
        <v>10525.74</v>
      </c>
    </row>
    <row r="138" spans="1:37" ht="18.5" x14ac:dyDescent="0.35">
      <c r="A138" s="2" t="s">
        <v>21</v>
      </c>
      <c r="B138" s="26">
        <v>297.95999999999998</v>
      </c>
      <c r="C138" s="26">
        <v>289.08999999999997</v>
      </c>
      <c r="D138" s="26">
        <v>254.06</v>
      </c>
      <c r="E138" s="26">
        <v>219.42</v>
      </c>
      <c r="F138" s="26">
        <v>363.25</v>
      </c>
      <c r="G138" s="26">
        <v>680.52</v>
      </c>
      <c r="H138" s="26">
        <v>647.83000000000004</v>
      </c>
      <c r="I138" s="26">
        <v>397.95</v>
      </c>
      <c r="J138" s="26">
        <v>541.6</v>
      </c>
      <c r="K138" s="26">
        <v>905.02</v>
      </c>
      <c r="L138" s="15"/>
      <c r="M138" s="15"/>
      <c r="N138" s="2" t="s">
        <v>55</v>
      </c>
      <c r="O138" s="18">
        <v>2402.35</v>
      </c>
      <c r="P138" s="18">
        <v>2679.95</v>
      </c>
      <c r="Q138" s="18">
        <v>3064.92</v>
      </c>
      <c r="R138" s="18">
        <v>3384.72</v>
      </c>
      <c r="S138" s="18">
        <v>3755.05</v>
      </c>
      <c r="T138" s="18">
        <v>4102</v>
      </c>
      <c r="U138" s="18">
        <v>4274.17</v>
      </c>
      <c r="V138" s="18">
        <v>4962.5200000000004</v>
      </c>
      <c r="W138" s="18">
        <v>5277.45</v>
      </c>
      <c r="X138" s="18">
        <v>5649.57</v>
      </c>
      <c r="Y138" s="15"/>
      <c r="Z138" s="15"/>
      <c r="AA138" s="15" t="s">
        <v>94</v>
      </c>
      <c r="AB138" s="19">
        <v>331.79</v>
      </c>
      <c r="AC138" s="19">
        <v>34.909999999999997</v>
      </c>
      <c r="AD138" s="19">
        <v>40.98</v>
      </c>
      <c r="AE138" s="19">
        <v>35.71</v>
      </c>
      <c r="AF138" s="19">
        <v>-87.05</v>
      </c>
      <c r="AG138" s="19">
        <v>-22.36</v>
      </c>
      <c r="AH138" s="19">
        <v>-83.61</v>
      </c>
      <c r="AI138" s="19">
        <v>-419.6</v>
      </c>
      <c r="AJ138" s="19">
        <v>-93.44</v>
      </c>
      <c r="AK138" s="19">
        <v>-637.4</v>
      </c>
    </row>
    <row r="139" spans="1:37" ht="18.5" x14ac:dyDescent="0.35">
      <c r="A139" s="2" t="s">
        <v>22</v>
      </c>
      <c r="B139" s="18">
        <v>6077.67</v>
      </c>
      <c r="C139" s="18">
        <v>6611.35</v>
      </c>
      <c r="D139" s="18">
        <v>8469.77</v>
      </c>
      <c r="E139" s="18">
        <v>8081.53</v>
      </c>
      <c r="F139" s="18">
        <v>7968.41</v>
      </c>
      <c r="G139" s="18">
        <v>6440.48</v>
      </c>
      <c r="H139" s="18">
        <v>3705.77</v>
      </c>
      <c r="I139" s="18">
        <v>4257.29</v>
      </c>
      <c r="J139" s="18">
        <v>6371.13</v>
      </c>
      <c r="K139" s="18">
        <v>4154.8500000000004</v>
      </c>
      <c r="L139" s="15"/>
      <c r="M139" s="15"/>
      <c r="N139" s="2" t="s">
        <v>56</v>
      </c>
      <c r="O139" s="18">
        <v>-7007.5</v>
      </c>
      <c r="P139" s="18">
        <v>-4850.8599999999997</v>
      </c>
      <c r="Q139" s="26">
        <v>-758.94</v>
      </c>
      <c r="R139" s="18">
        <v>3337.89</v>
      </c>
      <c r="S139" s="18">
        <v>3170.66</v>
      </c>
      <c r="T139" s="18">
        <v>6879.03</v>
      </c>
      <c r="U139" s="18">
        <v>16038.72</v>
      </c>
      <c r="V139" s="18">
        <v>2636.91</v>
      </c>
      <c r="W139" s="18">
        <v>3687.67</v>
      </c>
      <c r="X139" s="18">
        <v>3008.82</v>
      </c>
      <c r="Y139" s="15"/>
      <c r="Z139" s="15"/>
      <c r="AA139" s="15" t="s">
        <v>95</v>
      </c>
      <c r="AB139" s="19">
        <v>331.79</v>
      </c>
      <c r="AC139" s="19">
        <v>34.909999999999997</v>
      </c>
      <c r="AD139" s="19">
        <v>40.98</v>
      </c>
      <c r="AE139" s="19">
        <v>35.71</v>
      </c>
      <c r="AF139" s="19">
        <v>-87.05</v>
      </c>
      <c r="AG139" s="19">
        <v>-22.36</v>
      </c>
      <c r="AH139" s="19">
        <v>-83.61</v>
      </c>
      <c r="AI139" s="19">
        <v>-419.6</v>
      </c>
      <c r="AJ139" s="19">
        <v>-93.44</v>
      </c>
      <c r="AK139" s="19">
        <v>-637.4</v>
      </c>
    </row>
    <row r="140" spans="1:37" ht="18.5" x14ac:dyDescent="0.35">
      <c r="A140" s="2" t="s">
        <v>23</v>
      </c>
      <c r="B140" s="18">
        <v>24422.87</v>
      </c>
      <c r="C140" s="18">
        <v>25761.64</v>
      </c>
      <c r="D140" s="18">
        <v>29842.05</v>
      </c>
      <c r="E140" s="18">
        <v>32485.23</v>
      </c>
      <c r="F140" s="18">
        <v>41159.67</v>
      </c>
      <c r="G140" s="18">
        <v>30801.439999999999</v>
      </c>
      <c r="H140" s="18">
        <v>28929.13</v>
      </c>
      <c r="I140" s="18">
        <v>38030.83</v>
      </c>
      <c r="J140" s="18">
        <v>48175.53</v>
      </c>
      <c r="K140" s="18">
        <v>42030.98</v>
      </c>
      <c r="L140" s="15"/>
      <c r="M140" s="15"/>
      <c r="N140" s="2" t="s">
        <v>57</v>
      </c>
      <c r="O140" s="26">
        <v>-76.510000000000005</v>
      </c>
      <c r="P140" s="26">
        <v>0</v>
      </c>
      <c r="Q140" s="26">
        <v>0</v>
      </c>
      <c r="R140" s="26">
        <v>0</v>
      </c>
      <c r="S140" s="26">
        <v>9.39</v>
      </c>
      <c r="T140" s="26">
        <v>12.05</v>
      </c>
      <c r="U140" s="26">
        <v>0</v>
      </c>
      <c r="V140" s="26">
        <v>118.37</v>
      </c>
      <c r="W140" s="26">
        <v>605.54</v>
      </c>
      <c r="X140" s="26">
        <v>815.15</v>
      </c>
      <c r="Y140" s="15"/>
      <c r="Z140" s="15"/>
      <c r="AA140" s="15" t="s">
        <v>96</v>
      </c>
      <c r="AB140" s="19">
        <v>3799.71</v>
      </c>
      <c r="AC140" s="19">
        <v>2125.0300000000002</v>
      </c>
      <c r="AD140" s="19">
        <v>6157.81</v>
      </c>
      <c r="AE140" s="19">
        <v>7301.57</v>
      </c>
      <c r="AF140" s="19">
        <v>-650.57000000000005</v>
      </c>
      <c r="AG140" s="19">
        <v>23395.88</v>
      </c>
      <c r="AH140" s="19">
        <v>30963.599999999999</v>
      </c>
      <c r="AI140" s="19">
        <v>-5406.49</v>
      </c>
      <c r="AJ140" s="19">
        <v>2933.19</v>
      </c>
      <c r="AK140" s="19">
        <v>9888.34</v>
      </c>
    </row>
    <row r="141" spans="1:37" ht="18.5" x14ac:dyDescent="0.35">
      <c r="A141" s="2" t="s">
        <v>24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15"/>
      <c r="M141" s="15"/>
      <c r="N141" s="2" t="s">
        <v>58</v>
      </c>
      <c r="O141" s="18">
        <v>-2909.55</v>
      </c>
      <c r="P141" s="18">
        <v>-2017.62</v>
      </c>
      <c r="Q141" s="26">
        <v>-277.23</v>
      </c>
      <c r="R141" s="18">
        <v>1159.07</v>
      </c>
      <c r="S141" s="18">
        <v>1139.73</v>
      </c>
      <c r="T141" s="18">
        <v>3016.96</v>
      </c>
      <c r="U141" s="18">
        <v>4023.68</v>
      </c>
      <c r="V141" s="26">
        <v>615.47</v>
      </c>
      <c r="W141" s="26">
        <v>349.02</v>
      </c>
      <c r="X141" s="26">
        <v>45.71</v>
      </c>
      <c r="Y141" s="15"/>
      <c r="Z141" s="15"/>
      <c r="AA141" s="15" t="s">
        <v>97</v>
      </c>
      <c r="AB141" s="31">
        <v>-4558.17</v>
      </c>
      <c r="AC141" s="31">
        <v>-5438.67</v>
      </c>
      <c r="AD141" s="31">
        <v>-6468.71</v>
      </c>
      <c r="AE141" s="31">
        <v>-3755.66</v>
      </c>
      <c r="AF141" s="31">
        <v>-4236.12</v>
      </c>
      <c r="AG141" s="31">
        <v>-3273.03</v>
      </c>
      <c r="AH141" s="31">
        <v>-3974.66</v>
      </c>
      <c r="AI141" s="31">
        <v>-3233.54</v>
      </c>
      <c r="AJ141" s="31">
        <v>-4280.26</v>
      </c>
      <c r="AK141" s="31">
        <v>-5232.92</v>
      </c>
    </row>
    <row r="142" spans="1:37" ht="18.5" x14ac:dyDescent="0.35">
      <c r="A142" s="2" t="s">
        <v>25</v>
      </c>
      <c r="B142" s="18">
        <v>18546.25</v>
      </c>
      <c r="C142" s="18">
        <v>21096.95</v>
      </c>
      <c r="D142" s="18">
        <v>25535.040000000001</v>
      </c>
      <c r="E142" s="18">
        <v>24921.31</v>
      </c>
      <c r="F142" s="18">
        <v>22850.39</v>
      </c>
      <c r="G142" s="18">
        <v>25058.98</v>
      </c>
      <c r="H142" s="18">
        <v>32605.38</v>
      </c>
      <c r="I142" s="18">
        <v>28002.49</v>
      </c>
      <c r="J142" s="18">
        <v>30414.76</v>
      </c>
      <c r="K142" s="18">
        <v>24343.99</v>
      </c>
      <c r="L142" s="15"/>
      <c r="M142" s="15"/>
      <c r="N142" s="2" t="s">
        <v>59</v>
      </c>
      <c r="O142" s="18">
        <v>-4021.44</v>
      </c>
      <c r="P142" s="18">
        <v>-2833.24</v>
      </c>
      <c r="Q142" s="26">
        <v>-481.71</v>
      </c>
      <c r="R142" s="18">
        <v>2178.8200000000002</v>
      </c>
      <c r="S142" s="18">
        <v>2021.54</v>
      </c>
      <c r="T142" s="18">
        <v>3850.02</v>
      </c>
      <c r="U142" s="18">
        <v>12015.04</v>
      </c>
      <c r="V142" s="18">
        <v>1903.07</v>
      </c>
      <c r="W142" s="18">
        <v>2733.11</v>
      </c>
      <c r="X142" s="18">
        <v>2147.96</v>
      </c>
      <c r="Y142" s="15"/>
      <c r="Z142" s="15"/>
      <c r="AA142" s="15" t="s">
        <v>98</v>
      </c>
      <c r="AB142" s="19">
        <v>-4653.58</v>
      </c>
      <c r="AC142" s="19">
        <v>-5454.82</v>
      </c>
      <c r="AD142" s="19">
        <v>-6763.94</v>
      </c>
      <c r="AE142" s="19">
        <v>-3979.05</v>
      </c>
      <c r="AF142" s="19">
        <v>-4672.3</v>
      </c>
      <c r="AG142" s="19">
        <v>-3709.63</v>
      </c>
      <c r="AH142" s="19">
        <v>-3852.18</v>
      </c>
      <c r="AI142" s="19">
        <v>-4314.51</v>
      </c>
      <c r="AJ142" s="19">
        <v>-4863.09</v>
      </c>
      <c r="AK142" s="19">
        <v>-6427.52</v>
      </c>
    </row>
    <row r="143" spans="1:37" ht="18.5" x14ac:dyDescent="0.35">
      <c r="A143" s="2" t="s">
        <v>26</v>
      </c>
      <c r="B143" s="18">
        <v>2878.77</v>
      </c>
      <c r="C143" s="18">
        <v>3147.45</v>
      </c>
      <c r="D143" s="18">
        <v>2555.79</v>
      </c>
      <c r="E143" s="18">
        <v>2556.1999999999998</v>
      </c>
      <c r="F143" s="18">
        <v>2802.85</v>
      </c>
      <c r="G143" s="18">
        <v>2321.46</v>
      </c>
      <c r="H143" s="18">
        <v>1439.86</v>
      </c>
      <c r="I143" s="18">
        <v>1676.12</v>
      </c>
      <c r="J143" s="18">
        <v>1807.7</v>
      </c>
      <c r="K143" s="18">
        <v>1876.82</v>
      </c>
      <c r="L143" s="15"/>
      <c r="M143" s="15"/>
      <c r="N143" s="2" t="s">
        <v>60</v>
      </c>
      <c r="O143" s="26">
        <v>-60.74</v>
      </c>
      <c r="P143" s="26">
        <v>-264.91000000000003</v>
      </c>
      <c r="Q143" s="26">
        <v>-46.37</v>
      </c>
      <c r="R143" s="26">
        <v>-284.36</v>
      </c>
      <c r="S143" s="26">
        <v>-484.7</v>
      </c>
      <c r="T143" s="26">
        <v>14.08</v>
      </c>
      <c r="U143" s="26">
        <v>-280.95</v>
      </c>
      <c r="V143" s="26">
        <v>221.92</v>
      </c>
      <c r="W143" s="26">
        <v>-526.84</v>
      </c>
      <c r="X143" s="26">
        <v>-254.51</v>
      </c>
      <c r="Y143" s="15"/>
      <c r="Z143" s="15"/>
      <c r="AA143" s="15" t="s">
        <v>99</v>
      </c>
      <c r="AB143" s="19">
        <v>158.99</v>
      </c>
      <c r="AC143" s="19">
        <v>25.02</v>
      </c>
      <c r="AD143" s="19">
        <v>153.09</v>
      </c>
      <c r="AE143" s="19">
        <v>100.71</v>
      </c>
      <c r="AF143" s="19">
        <v>223.23</v>
      </c>
      <c r="AG143" s="19">
        <v>143.11000000000001</v>
      </c>
      <c r="AH143" s="19">
        <v>235.71</v>
      </c>
      <c r="AI143" s="19">
        <v>399.55</v>
      </c>
      <c r="AJ143" s="19">
        <v>502.85</v>
      </c>
      <c r="AK143" s="19">
        <v>843.72</v>
      </c>
    </row>
    <row r="144" spans="1:37" ht="18.5" x14ac:dyDescent="0.35">
      <c r="A144" s="2" t="s">
        <v>27</v>
      </c>
      <c r="B144" s="18">
        <v>21425.02</v>
      </c>
      <c r="C144" s="18">
        <v>24244.400000000001</v>
      </c>
      <c r="D144" s="18">
        <v>28090.83</v>
      </c>
      <c r="E144" s="18">
        <v>27477.51</v>
      </c>
      <c r="F144" s="18">
        <v>25653.24</v>
      </c>
      <c r="G144" s="18">
        <v>27380.44</v>
      </c>
      <c r="H144" s="18">
        <v>34045.24</v>
      </c>
      <c r="I144" s="18">
        <v>29678.61</v>
      </c>
      <c r="J144" s="18">
        <v>32222.46</v>
      </c>
      <c r="K144" s="18">
        <v>26220.81</v>
      </c>
      <c r="L144" s="15"/>
      <c r="M144" s="15"/>
      <c r="N144" s="2" t="s">
        <v>61</v>
      </c>
      <c r="O144" s="18">
        <v>-3960.7</v>
      </c>
      <c r="P144" s="18">
        <v>-2568.33</v>
      </c>
      <c r="Q144" s="26">
        <v>-435.34</v>
      </c>
      <c r="R144" s="18">
        <v>2463.1799999999998</v>
      </c>
      <c r="S144" s="18">
        <v>2506.2399999999998</v>
      </c>
      <c r="T144" s="18">
        <v>3835.94</v>
      </c>
      <c r="U144" s="18">
        <v>12295.99</v>
      </c>
      <c r="V144" s="18">
        <v>1681.15</v>
      </c>
      <c r="W144" s="18">
        <v>3259.95</v>
      </c>
      <c r="X144" s="18">
        <v>2402.4699999999998</v>
      </c>
      <c r="Y144" s="15"/>
      <c r="Z144" s="15"/>
      <c r="AA144" s="15" t="s">
        <v>102</v>
      </c>
      <c r="AB144" s="19">
        <v>182.24</v>
      </c>
      <c r="AC144" s="19">
        <v>0.1</v>
      </c>
      <c r="AD144" s="19">
        <v>166.09</v>
      </c>
      <c r="AE144" s="19">
        <v>123.95</v>
      </c>
      <c r="AF144" s="19">
        <v>139.55000000000001</v>
      </c>
      <c r="AG144" s="19">
        <v>125.45</v>
      </c>
      <c r="AH144" s="19">
        <v>190.75</v>
      </c>
      <c r="AI144" s="19">
        <v>282.08999999999997</v>
      </c>
      <c r="AJ144" s="19">
        <v>192.11</v>
      </c>
      <c r="AK144" s="19">
        <v>172.15</v>
      </c>
    </row>
    <row r="145" spans="1:37" ht="18.5" x14ac:dyDescent="0.35">
      <c r="A145" s="2" t="s">
        <v>28</v>
      </c>
      <c r="B145" s="18">
        <v>2997.85</v>
      </c>
      <c r="C145" s="18">
        <v>1517.24</v>
      </c>
      <c r="D145" s="18">
        <v>1751.22</v>
      </c>
      <c r="E145" s="18">
        <v>5007.72</v>
      </c>
      <c r="F145" s="18">
        <v>15506.43</v>
      </c>
      <c r="G145" s="18">
        <v>3421</v>
      </c>
      <c r="H145" s="18">
        <v>-5116.1099999999997</v>
      </c>
      <c r="I145" s="18">
        <v>8352.2199999999993</v>
      </c>
      <c r="J145" s="18">
        <v>15953.07</v>
      </c>
      <c r="K145" s="18">
        <v>15810.17</v>
      </c>
      <c r="L145" s="15"/>
      <c r="M145" s="15"/>
      <c r="N145" s="2" t="s">
        <v>62</v>
      </c>
      <c r="O145" s="26">
        <v>-305.76</v>
      </c>
      <c r="P145" s="26">
        <v>-356.62</v>
      </c>
      <c r="Q145" s="26">
        <v>177.53</v>
      </c>
      <c r="R145" s="26">
        <v>214.62</v>
      </c>
      <c r="S145" s="26">
        <v>-201.93</v>
      </c>
      <c r="T145" s="26">
        <v>267.64999999999998</v>
      </c>
      <c r="U145" s="26">
        <v>-83.65</v>
      </c>
      <c r="V145" s="26">
        <v>-490.23</v>
      </c>
      <c r="W145" s="26">
        <v>-179.16</v>
      </c>
      <c r="X145" s="26">
        <v>-262.06</v>
      </c>
      <c r="Y145" s="15"/>
      <c r="Z145" s="15"/>
      <c r="AA145" s="15" t="s">
        <v>81</v>
      </c>
      <c r="AB145" s="19">
        <v>70.849999999999994</v>
      </c>
      <c r="AC145" s="19">
        <v>91.93</v>
      </c>
      <c r="AD145" s="19">
        <v>76.16</v>
      </c>
      <c r="AE145" s="19">
        <v>44.44</v>
      </c>
      <c r="AF145" s="19">
        <v>86.65</v>
      </c>
      <c r="AG145" s="19">
        <v>160.81</v>
      </c>
      <c r="AH145" s="19">
        <v>192.99</v>
      </c>
      <c r="AI145" s="19">
        <v>419.64</v>
      </c>
      <c r="AJ145" s="19">
        <v>168.81</v>
      </c>
      <c r="AK145" s="19">
        <v>273.18</v>
      </c>
    </row>
    <row r="146" spans="1:37" ht="18.5" x14ac:dyDescent="0.35">
      <c r="A146" s="2" t="s">
        <v>29</v>
      </c>
      <c r="B146" s="18">
        <v>7947.39</v>
      </c>
      <c r="C146" s="18">
        <v>11496.41</v>
      </c>
      <c r="D146" s="18">
        <v>13220.31</v>
      </c>
      <c r="E146" s="18">
        <v>13055.73</v>
      </c>
      <c r="F146" s="18">
        <v>13619.01</v>
      </c>
      <c r="G146" s="18">
        <v>5656.26</v>
      </c>
      <c r="H146" s="18">
        <v>2248.98</v>
      </c>
      <c r="I146" s="18">
        <v>2353.11</v>
      </c>
      <c r="J146" s="18">
        <v>2257.9499999999998</v>
      </c>
      <c r="K146" s="18">
        <v>2084.7399999999998</v>
      </c>
      <c r="L146" s="15"/>
      <c r="M146" s="15"/>
      <c r="N146" s="2" t="s">
        <v>63</v>
      </c>
      <c r="O146" s="18">
        <v>33051.93</v>
      </c>
      <c r="P146" s="18">
        <v>28283.65</v>
      </c>
      <c r="Q146" s="18">
        <v>24570.11</v>
      </c>
      <c r="R146" s="18">
        <v>23898.880000000001</v>
      </c>
      <c r="S146" s="18">
        <v>26638.87</v>
      </c>
      <c r="T146" s="18">
        <v>28871.07</v>
      </c>
      <c r="U146" s="18">
        <v>32866.559999999998</v>
      </c>
      <c r="V146" s="18">
        <v>41922.800000000003</v>
      </c>
      <c r="W146" s="18">
        <v>42150.48</v>
      </c>
      <c r="X146" s="18">
        <v>44334.78</v>
      </c>
      <c r="Y146" s="15"/>
      <c r="Z146" s="15"/>
      <c r="AA146" s="15" t="s">
        <v>86</v>
      </c>
      <c r="AB146" s="19">
        <v>0</v>
      </c>
      <c r="AC146" s="19">
        <v>0</v>
      </c>
      <c r="AD146" s="19">
        <v>0</v>
      </c>
      <c r="AE146" s="19">
        <v>-10.220000000000001</v>
      </c>
      <c r="AF146" s="19">
        <v>-24.99</v>
      </c>
      <c r="AG146" s="19">
        <v>-2.2999999999999998</v>
      </c>
      <c r="AH146" s="19">
        <v>-737.4</v>
      </c>
      <c r="AI146" s="19">
        <v>-20.309999999999999</v>
      </c>
      <c r="AJ146" s="19">
        <v>-280.94</v>
      </c>
      <c r="AK146" s="19">
        <v>-91.53</v>
      </c>
    </row>
    <row r="147" spans="1:37" ht="18.5" x14ac:dyDescent="0.35">
      <c r="A147" s="2" t="s">
        <v>30</v>
      </c>
      <c r="B147" s="18">
        <v>6147.59</v>
      </c>
      <c r="C147" s="18">
        <v>7490.57</v>
      </c>
      <c r="D147" s="18">
        <v>9035.0400000000009</v>
      </c>
      <c r="E147" s="18">
        <v>10157.35</v>
      </c>
      <c r="F147" s="18">
        <v>11540.02</v>
      </c>
      <c r="G147" s="18">
        <v>6909.42</v>
      </c>
      <c r="H147" s="18">
        <v>7508.91</v>
      </c>
      <c r="I147" s="18">
        <v>8100.28</v>
      </c>
      <c r="J147" s="18">
        <v>8436.15</v>
      </c>
      <c r="K147" s="18">
        <v>8507.07</v>
      </c>
      <c r="L147" s="15"/>
      <c r="M147" s="15"/>
      <c r="N147" s="2" t="s">
        <v>64</v>
      </c>
      <c r="O147" s="26">
        <v>441.08</v>
      </c>
      <c r="P147" s="26">
        <v>523.67999999999995</v>
      </c>
      <c r="Q147" s="26">
        <v>367.05</v>
      </c>
      <c r="R147" s="26">
        <v>-346.55</v>
      </c>
      <c r="S147" s="26">
        <v>-412.59</v>
      </c>
      <c r="T147" s="26">
        <v>703.92</v>
      </c>
      <c r="U147" s="18">
        <v>3981.51</v>
      </c>
      <c r="V147" s="18">
        <v>1185.1600000000001</v>
      </c>
      <c r="W147" s="26">
        <v>369.65</v>
      </c>
      <c r="X147" s="26">
        <v>291.33</v>
      </c>
      <c r="Y147" s="15"/>
      <c r="Z147" s="15"/>
      <c r="AA147" s="15" t="s">
        <v>105</v>
      </c>
      <c r="AB147" s="19">
        <v>742.73</v>
      </c>
      <c r="AC147" s="31">
        <v>3302.13</v>
      </c>
      <c r="AD147" s="19">
        <v>269.42</v>
      </c>
      <c r="AE147" s="31">
        <v>-3590.77</v>
      </c>
      <c r="AF147" s="31">
        <v>5005.53</v>
      </c>
      <c r="AG147" s="31">
        <v>-19807.88</v>
      </c>
      <c r="AH147" s="31">
        <v>-27397.58</v>
      </c>
      <c r="AI147" s="31">
        <v>8586.7099999999991</v>
      </c>
      <c r="AJ147" s="31">
        <v>1354.36</v>
      </c>
      <c r="AK147" s="31">
        <v>-4383.53</v>
      </c>
    </row>
    <row r="148" spans="1:37" ht="18.5" x14ac:dyDescent="0.35">
      <c r="A148" s="2" t="s">
        <v>31</v>
      </c>
      <c r="B148" s="18">
        <v>1799.8</v>
      </c>
      <c r="C148" s="18">
        <v>4005.84</v>
      </c>
      <c r="D148" s="18">
        <v>4185.2700000000004</v>
      </c>
      <c r="E148" s="18">
        <v>2898.38</v>
      </c>
      <c r="F148" s="18">
        <v>2078.9899999999998</v>
      </c>
      <c r="G148" s="18">
        <v>-1253.1600000000001</v>
      </c>
      <c r="H148" s="18">
        <v>-5259.93</v>
      </c>
      <c r="I148" s="18">
        <v>-5747.17</v>
      </c>
      <c r="J148" s="18">
        <v>-6178.2</v>
      </c>
      <c r="K148" s="18">
        <v>-6422.33</v>
      </c>
      <c r="L148" s="15"/>
      <c r="M148" s="15"/>
      <c r="N148" s="2" t="s">
        <v>65</v>
      </c>
      <c r="O148" s="18">
        <v>28283.65</v>
      </c>
      <c r="P148" s="18">
        <v>24570.11</v>
      </c>
      <c r="Q148" s="18">
        <v>23898.880000000001</v>
      </c>
      <c r="R148" s="18">
        <v>26638.87</v>
      </c>
      <c r="S148" s="18">
        <v>28871.07</v>
      </c>
      <c r="T148" s="18">
        <v>32284.82</v>
      </c>
      <c r="U148" s="18">
        <v>40816.44</v>
      </c>
      <c r="V148" s="18">
        <v>42150.48</v>
      </c>
      <c r="W148" s="18">
        <v>44334.78</v>
      </c>
      <c r="X148" s="18">
        <v>45929.35</v>
      </c>
      <c r="Y148" s="15"/>
      <c r="Z148" s="15"/>
      <c r="AA148" s="15" t="s">
        <v>107</v>
      </c>
      <c r="AB148" s="19">
        <v>1875.51</v>
      </c>
      <c r="AC148" s="19">
        <v>1591.77</v>
      </c>
      <c r="AD148" s="19">
        <v>10689.68</v>
      </c>
      <c r="AE148" s="19">
        <v>1374.42</v>
      </c>
      <c r="AF148" s="19">
        <v>2897.82</v>
      </c>
      <c r="AG148" s="19">
        <v>0</v>
      </c>
      <c r="AH148" s="19">
        <v>0</v>
      </c>
      <c r="AI148" s="19">
        <v>0</v>
      </c>
      <c r="AJ148" s="19">
        <v>5000</v>
      </c>
      <c r="AK148" s="19">
        <v>1250</v>
      </c>
    </row>
    <row r="149" spans="1:37" ht="18.5" x14ac:dyDescent="0.35">
      <c r="A149" s="2" t="s">
        <v>32</v>
      </c>
      <c r="B149" s="18">
        <v>2196.9</v>
      </c>
      <c r="C149" s="18">
        <v>2043.81</v>
      </c>
      <c r="D149" s="18">
        <v>1984.97</v>
      </c>
      <c r="E149" s="18">
        <v>2344.09</v>
      </c>
      <c r="F149" s="18">
        <v>2771.99</v>
      </c>
      <c r="G149" s="18">
        <v>7127.3</v>
      </c>
      <c r="H149" s="18">
        <v>9783.02</v>
      </c>
      <c r="I149" s="18">
        <v>9893.2199999999993</v>
      </c>
      <c r="J149" s="18">
        <v>9423.19</v>
      </c>
      <c r="K149" s="18">
        <v>8975.3799999999992</v>
      </c>
      <c r="L149" s="15"/>
      <c r="M149" s="15"/>
      <c r="N149" s="2" t="s">
        <v>66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413.05</v>
      </c>
      <c r="U149" s="18">
        <v>2684.84</v>
      </c>
      <c r="V149" s="26">
        <v>413.05</v>
      </c>
      <c r="W149" s="26">
        <v>413.05</v>
      </c>
      <c r="X149" s="26">
        <v>0</v>
      </c>
      <c r="Y149" s="15"/>
      <c r="Z149" s="15"/>
      <c r="AA149" s="15" t="s">
        <v>108</v>
      </c>
      <c r="AB149" s="19">
        <v>1291.95</v>
      </c>
      <c r="AC149" s="19">
        <v>4238.18</v>
      </c>
      <c r="AD149" s="19">
        <v>0</v>
      </c>
      <c r="AE149" s="19">
        <v>0</v>
      </c>
      <c r="AF149" s="19">
        <v>6009.56</v>
      </c>
      <c r="AG149" s="19">
        <v>0</v>
      </c>
      <c r="AH149" s="19">
        <v>0</v>
      </c>
      <c r="AI149" s="19">
        <v>14299.36</v>
      </c>
      <c r="AJ149" s="19">
        <v>2426.4699999999998</v>
      </c>
      <c r="AK149" s="19">
        <v>0</v>
      </c>
    </row>
    <row r="150" spans="1:37" ht="18.5" x14ac:dyDescent="0.35">
      <c r="A150" s="2" t="s">
        <v>33</v>
      </c>
      <c r="B150" s="18">
        <v>79139.47</v>
      </c>
      <c r="C150" s="18">
        <v>82523.23</v>
      </c>
      <c r="D150" s="18">
        <v>86419.74</v>
      </c>
      <c r="E150" s="18">
        <v>89207.65</v>
      </c>
      <c r="F150" s="18">
        <v>99712.99</v>
      </c>
      <c r="G150" s="18">
        <v>87368.39</v>
      </c>
      <c r="H150" s="18">
        <v>78705.36</v>
      </c>
      <c r="I150" s="18">
        <v>92586.05</v>
      </c>
      <c r="J150" s="18">
        <v>99440.29</v>
      </c>
      <c r="K150" s="18">
        <v>100616.51</v>
      </c>
      <c r="L150" s="15"/>
      <c r="M150" s="15"/>
      <c r="N150" s="2" t="s">
        <v>67</v>
      </c>
      <c r="O150" s="26">
        <v>0</v>
      </c>
      <c r="P150" s="26">
        <v>0</v>
      </c>
      <c r="Q150" s="26">
        <v>0</v>
      </c>
      <c r="R150" s="26">
        <v>5</v>
      </c>
      <c r="S150" s="26">
        <v>0</v>
      </c>
      <c r="T150" s="26">
        <v>28</v>
      </c>
      <c r="U150" s="26">
        <v>87.5</v>
      </c>
      <c r="V150" s="26">
        <v>15</v>
      </c>
      <c r="W150" s="26">
        <v>20</v>
      </c>
      <c r="X150" s="26">
        <v>16</v>
      </c>
      <c r="Y150" s="15"/>
      <c r="Z150" s="15"/>
      <c r="AA150" s="15" t="s">
        <v>111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-14793.27</v>
      </c>
      <c r="AH150" s="19">
        <v>-9770.76</v>
      </c>
      <c r="AI150" s="19">
        <v>-2023.23</v>
      </c>
      <c r="AJ150" s="19">
        <v>-2494.9299999999998</v>
      </c>
      <c r="AK150" s="19">
        <v>-1083.72</v>
      </c>
    </row>
    <row r="151" spans="1:37" ht="18.5" x14ac:dyDescent="0.35">
      <c r="A151" s="2" t="s">
        <v>34</v>
      </c>
      <c r="B151" s="18">
        <v>32583.01</v>
      </c>
      <c r="C151" s="18">
        <v>36905.46</v>
      </c>
      <c r="D151" s="18">
        <v>26767.63</v>
      </c>
      <c r="E151" s="18">
        <v>28278.31</v>
      </c>
      <c r="F151" s="18">
        <v>35296.85</v>
      </c>
      <c r="G151" s="18">
        <v>38137.61</v>
      </c>
      <c r="H151" s="18">
        <v>39829.82</v>
      </c>
      <c r="I151" s="18">
        <v>41171.980000000003</v>
      </c>
      <c r="J151" s="18">
        <v>39213.379999999997</v>
      </c>
      <c r="K151" s="18">
        <v>40112.29</v>
      </c>
      <c r="L151" s="15"/>
      <c r="M151" s="15"/>
      <c r="N151" s="2" t="s">
        <v>68</v>
      </c>
      <c r="O151" s="26">
        <v>0</v>
      </c>
      <c r="P151" s="26">
        <v>0</v>
      </c>
      <c r="Q151" s="26">
        <v>0</v>
      </c>
      <c r="R151" s="26">
        <v>0.5</v>
      </c>
      <c r="S151" s="26">
        <v>0</v>
      </c>
      <c r="T151" s="26">
        <v>2.8</v>
      </c>
      <c r="U151" s="26">
        <v>8.75</v>
      </c>
      <c r="V151" s="26">
        <v>1.5</v>
      </c>
      <c r="W151" s="26">
        <v>2</v>
      </c>
      <c r="X151" s="26">
        <v>1.6</v>
      </c>
      <c r="Y151" s="15"/>
      <c r="Z151" s="15"/>
      <c r="AA151" s="15" t="s">
        <v>112</v>
      </c>
      <c r="AB151" s="19">
        <v>0</v>
      </c>
      <c r="AC151" s="19">
        <v>0</v>
      </c>
      <c r="AD151" s="19">
        <v>-7568.72</v>
      </c>
      <c r="AE151" s="19">
        <v>-1613.1</v>
      </c>
      <c r="AF151" s="19">
        <v>0</v>
      </c>
      <c r="AG151" s="19">
        <v>-1541.72</v>
      </c>
      <c r="AH151" s="19">
        <v>-12451.62</v>
      </c>
      <c r="AI151" s="19">
        <v>0</v>
      </c>
      <c r="AJ151" s="19">
        <v>0</v>
      </c>
      <c r="AK151" s="19">
        <v>-948.49</v>
      </c>
    </row>
    <row r="152" spans="1:37" ht="18.5" x14ac:dyDescent="0.35">
      <c r="A152" s="15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5"/>
      <c r="M152" s="15"/>
      <c r="N152" s="2" t="s">
        <v>69</v>
      </c>
      <c r="O152" s="26">
        <v>0</v>
      </c>
      <c r="P152" s="26">
        <v>0</v>
      </c>
      <c r="Q152" s="26">
        <v>0</v>
      </c>
      <c r="R152" s="26">
        <v>5.27</v>
      </c>
      <c r="S152" s="26">
        <v>4.8899999999999997</v>
      </c>
      <c r="T152" s="26">
        <v>9.32</v>
      </c>
      <c r="U152" s="26">
        <v>29.09</v>
      </c>
      <c r="V152" s="26">
        <v>4.6100000000000003</v>
      </c>
      <c r="W152" s="26">
        <v>6.62</v>
      </c>
      <c r="X152" s="26">
        <v>5.2</v>
      </c>
      <c r="Y152" s="15"/>
      <c r="Z152" s="15"/>
      <c r="AA152" s="15" t="s">
        <v>113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-115.48</v>
      </c>
      <c r="AH152" s="19">
        <v>-186.23</v>
      </c>
      <c r="AI152" s="19">
        <v>-267.04000000000002</v>
      </c>
      <c r="AJ152" s="19">
        <v>-801.03</v>
      </c>
      <c r="AK152" s="19">
        <v>-822.31</v>
      </c>
    </row>
    <row r="153" spans="1:37" ht="18.5" x14ac:dyDescent="0.35">
      <c r="A153" s="15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5"/>
      <c r="M153" s="15"/>
      <c r="N153" s="2" t="s">
        <v>70</v>
      </c>
      <c r="O153" s="26">
        <v>0</v>
      </c>
      <c r="P153" s="26">
        <v>0</v>
      </c>
      <c r="Q153" s="26">
        <v>0</v>
      </c>
      <c r="R153" s="26">
        <v>5.27</v>
      </c>
      <c r="S153" s="26">
        <v>4.8899999999999997</v>
      </c>
      <c r="T153" s="26">
        <v>9.32</v>
      </c>
      <c r="U153" s="26">
        <v>29.09</v>
      </c>
      <c r="V153" s="26">
        <v>4.6100000000000003</v>
      </c>
      <c r="W153" s="26">
        <v>6.62</v>
      </c>
      <c r="X153" s="26">
        <v>5.2</v>
      </c>
      <c r="Y153" s="15"/>
      <c r="Z153" s="15"/>
      <c r="AA153" s="15" t="s">
        <v>114</v>
      </c>
      <c r="AB153" s="19">
        <v>-124.28</v>
      </c>
      <c r="AC153" s="19">
        <v>0</v>
      </c>
      <c r="AD153" s="19">
        <v>0</v>
      </c>
      <c r="AE153" s="19">
        <v>0</v>
      </c>
      <c r="AF153" s="19">
        <v>-248.07</v>
      </c>
      <c r="AG153" s="19">
        <v>-413.05</v>
      </c>
      <c r="AH153" s="19">
        <v>-3066.88</v>
      </c>
      <c r="AI153" s="19">
        <v>-1342.42</v>
      </c>
      <c r="AJ153" s="19">
        <v>-619.58000000000004</v>
      </c>
      <c r="AK153" s="19">
        <v>-413.05</v>
      </c>
    </row>
    <row r="154" spans="1:37" ht="18.5" x14ac:dyDescent="0.35">
      <c r="A154" s="15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5"/>
      <c r="M154" s="15"/>
      <c r="N154" s="2" t="s">
        <v>71</v>
      </c>
      <c r="O154" s="26">
        <v>94.89</v>
      </c>
      <c r="P154" s="26">
        <v>87.18</v>
      </c>
      <c r="Q154" s="26">
        <v>86.46</v>
      </c>
      <c r="R154" s="26">
        <v>92.36</v>
      </c>
      <c r="S154" s="26">
        <v>96.3</v>
      </c>
      <c r="T154" s="26">
        <v>105.3</v>
      </c>
      <c r="U154" s="26">
        <v>125.93</v>
      </c>
      <c r="V154" s="26">
        <v>126.23</v>
      </c>
      <c r="W154" s="26">
        <v>131.05000000000001</v>
      </c>
      <c r="X154" s="26">
        <v>134.74</v>
      </c>
      <c r="Y154" s="15"/>
      <c r="Z154" s="15"/>
      <c r="AA154" s="15" t="s">
        <v>115</v>
      </c>
      <c r="AB154" s="19">
        <v>-2300.4499999999998</v>
      </c>
      <c r="AC154" s="19">
        <v>-2527.8200000000002</v>
      </c>
      <c r="AD154" s="19">
        <v>-2851.54</v>
      </c>
      <c r="AE154" s="19">
        <v>-3352.09</v>
      </c>
      <c r="AF154" s="19">
        <v>-3653.78</v>
      </c>
      <c r="AG154" s="19">
        <v>-2944.36</v>
      </c>
      <c r="AH154" s="19">
        <v>-1922.09</v>
      </c>
      <c r="AI154" s="19">
        <v>-2079.96</v>
      </c>
      <c r="AJ154" s="19">
        <v>-2156.5700000000002</v>
      </c>
      <c r="AK154" s="19">
        <v>-2365.96</v>
      </c>
    </row>
    <row r="155" spans="1:37" ht="18.5" x14ac:dyDescent="0.35">
      <c r="A155" s="15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5"/>
      <c r="M155" s="15"/>
      <c r="N155" s="2" t="s">
        <v>72</v>
      </c>
      <c r="O155" s="26">
        <v>94.89</v>
      </c>
      <c r="P155" s="26">
        <v>87.18</v>
      </c>
      <c r="Q155" s="26">
        <v>86.46</v>
      </c>
      <c r="R155" s="26">
        <v>92.36</v>
      </c>
      <c r="S155" s="26">
        <v>96.3</v>
      </c>
      <c r="T155" s="26">
        <v>105.3</v>
      </c>
      <c r="U155" s="26">
        <v>125.93</v>
      </c>
      <c r="V155" s="26">
        <v>126.23</v>
      </c>
      <c r="W155" s="26">
        <v>131.05000000000001</v>
      </c>
      <c r="X155" s="26">
        <v>134.74</v>
      </c>
      <c r="Y155" s="15"/>
      <c r="Z155" s="15"/>
      <c r="AA155" s="15" t="s">
        <v>116</v>
      </c>
      <c r="AB155" s="19">
        <v>-15.73</v>
      </c>
      <c r="AC155" s="19">
        <v>-11.51</v>
      </c>
      <c r="AD155" s="19">
        <v>-41.48</v>
      </c>
      <c r="AE155" s="19">
        <v>-44.86</v>
      </c>
      <c r="AF155" s="19">
        <v>118.84</v>
      </c>
      <c r="AG155" s="19">
        <v>314.97000000000003</v>
      </c>
      <c r="AH155" s="19">
        <v>-408.64</v>
      </c>
      <c r="AI155" s="19">
        <v>-53.32</v>
      </c>
      <c r="AJ155" s="19">
        <v>7.29</v>
      </c>
      <c r="AK155" s="19">
        <v>271.89</v>
      </c>
    </row>
    <row r="156" spans="1:37" ht="18.5" x14ac:dyDescent="0.35">
      <c r="A156" s="15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5"/>
      <c r="M156" s="15"/>
      <c r="N156" s="2" t="s">
        <v>73</v>
      </c>
      <c r="O156" s="26">
        <v>0</v>
      </c>
      <c r="P156" s="26">
        <v>0</v>
      </c>
      <c r="Q156" s="26">
        <v>0</v>
      </c>
      <c r="R156" s="26">
        <v>0.5</v>
      </c>
      <c r="S156" s="26">
        <v>0</v>
      </c>
      <c r="T156" s="26">
        <v>2.8</v>
      </c>
      <c r="U156" s="26">
        <v>8.75</v>
      </c>
      <c r="V156" s="26">
        <v>1.5</v>
      </c>
      <c r="W156" s="26">
        <v>2</v>
      </c>
      <c r="X156" s="26">
        <v>1.6</v>
      </c>
      <c r="Y156" s="15"/>
      <c r="Z156" s="15"/>
      <c r="AA156" s="15" t="s">
        <v>117</v>
      </c>
      <c r="AB156" s="19">
        <v>132.44</v>
      </c>
      <c r="AC156" s="19">
        <v>120.93</v>
      </c>
      <c r="AD156" s="19">
        <v>79.45</v>
      </c>
      <c r="AE156" s="19">
        <v>34.590000000000003</v>
      </c>
      <c r="AF156" s="19">
        <v>153.43</v>
      </c>
      <c r="AG156" s="19">
        <v>468.4</v>
      </c>
      <c r="AH156" s="19">
        <v>59.76</v>
      </c>
      <c r="AI156" s="19">
        <v>6.44</v>
      </c>
      <c r="AJ156" s="19">
        <v>13.73</v>
      </c>
      <c r="AK156" s="19">
        <v>285.62</v>
      </c>
    </row>
    <row r="157" spans="1:37" x14ac:dyDescent="0.35">
      <c r="N157" s="4" t="s">
        <v>127</v>
      </c>
      <c r="O157" s="58">
        <f>O139+O136</f>
        <v>-4707.05</v>
      </c>
      <c r="P157" s="58">
        <f t="shared" ref="P157:X157" si="2">P139+P136</f>
        <v>-2323.0399999999995</v>
      </c>
      <c r="Q157" s="58">
        <f t="shared" si="2"/>
        <v>2063.81</v>
      </c>
      <c r="R157" s="58">
        <f t="shared" si="2"/>
        <v>6492.8099999999995</v>
      </c>
      <c r="S157" s="58">
        <f t="shared" si="2"/>
        <v>6657.42</v>
      </c>
      <c r="T157" s="58">
        <f t="shared" si="2"/>
        <v>9696.17</v>
      </c>
      <c r="U157" s="58">
        <f t="shared" si="2"/>
        <v>17736.599999999999</v>
      </c>
      <c r="V157" s="58">
        <f t="shared" si="2"/>
        <v>4674.38</v>
      </c>
      <c r="W157" s="58">
        <f t="shared" si="2"/>
        <v>6161.48</v>
      </c>
      <c r="X157" s="58">
        <f t="shared" si="2"/>
        <v>5801.59</v>
      </c>
    </row>
    <row r="160" spans="1:37" ht="34.5" x14ac:dyDescent="0.35">
      <c r="A160" s="72" t="s">
        <v>124</v>
      </c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</row>
    <row r="162" spans="1:37" x14ac:dyDescent="0.35">
      <c r="A162" s="16" t="s">
        <v>118</v>
      </c>
      <c r="B162"/>
      <c r="C162"/>
      <c r="D162"/>
      <c r="E162"/>
      <c r="F162"/>
      <c r="G162"/>
      <c r="H162"/>
      <c r="I162"/>
      <c r="J162"/>
      <c r="K162" s="7"/>
      <c r="L162" s="17"/>
      <c r="M162" s="7"/>
      <c r="N162" s="40" t="s">
        <v>119</v>
      </c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/>
      <c r="Z162"/>
      <c r="AA162" t="s">
        <v>120</v>
      </c>
      <c r="AB162"/>
      <c r="AC162"/>
      <c r="AD162"/>
      <c r="AE162"/>
      <c r="AF162"/>
      <c r="AG162"/>
      <c r="AH162"/>
      <c r="AI162"/>
      <c r="AJ162"/>
      <c r="AK162"/>
    </row>
    <row r="163" spans="1:37" x14ac:dyDescent="0.35">
      <c r="A163" s="36" t="s">
        <v>1</v>
      </c>
      <c r="B163" s="36">
        <v>201603</v>
      </c>
      <c r="C163" s="36">
        <v>201703</v>
      </c>
      <c r="D163" s="36">
        <v>201803</v>
      </c>
      <c r="E163" s="36">
        <v>201903</v>
      </c>
      <c r="F163" s="36">
        <v>202003</v>
      </c>
      <c r="G163" s="36">
        <v>202103</v>
      </c>
      <c r="H163" s="36">
        <v>202203</v>
      </c>
      <c r="I163" s="36">
        <v>202303</v>
      </c>
      <c r="J163" s="36">
        <v>202403</v>
      </c>
      <c r="K163" s="36">
        <v>202503</v>
      </c>
      <c r="L163"/>
      <c r="M163"/>
      <c r="N163" s="40" t="s">
        <v>1</v>
      </c>
      <c r="O163" s="40">
        <v>201603</v>
      </c>
      <c r="P163" s="40">
        <v>201703</v>
      </c>
      <c r="Q163" s="40">
        <v>201803</v>
      </c>
      <c r="R163" s="40">
        <v>201903</v>
      </c>
      <c r="S163" s="40">
        <v>202003</v>
      </c>
      <c r="T163" s="40">
        <v>202103</v>
      </c>
      <c r="U163" s="40">
        <v>202203</v>
      </c>
      <c r="V163" s="40">
        <v>202303</v>
      </c>
      <c r="W163" s="40">
        <v>202403</v>
      </c>
      <c r="X163" s="40">
        <v>202503</v>
      </c>
      <c r="Y163"/>
      <c r="Z163"/>
      <c r="AA163" t="s">
        <v>1</v>
      </c>
      <c r="AB163">
        <v>201603</v>
      </c>
      <c r="AC163">
        <v>201703</v>
      </c>
      <c r="AD163">
        <v>201803</v>
      </c>
      <c r="AE163">
        <v>201903</v>
      </c>
      <c r="AF163">
        <v>202003</v>
      </c>
      <c r="AG163">
        <v>202103</v>
      </c>
      <c r="AH163">
        <v>202203</v>
      </c>
      <c r="AI163">
        <v>202303</v>
      </c>
      <c r="AJ163">
        <v>202403</v>
      </c>
      <c r="AK163">
        <v>202503</v>
      </c>
    </row>
    <row r="164" spans="1:37" x14ac:dyDescent="0.35">
      <c r="A164" s="38" t="s">
        <v>2</v>
      </c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/>
      <c r="M164"/>
      <c r="N164" s="40" t="s">
        <v>36</v>
      </c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/>
      <c r="Z164"/>
      <c r="AA164" t="s">
        <v>75</v>
      </c>
      <c r="AB164"/>
      <c r="AC164"/>
      <c r="AD164"/>
      <c r="AE164"/>
      <c r="AF164"/>
      <c r="AG164"/>
      <c r="AH164"/>
      <c r="AI164"/>
      <c r="AJ164"/>
      <c r="AK164"/>
    </row>
    <row r="165" spans="1:37" x14ac:dyDescent="0.35">
      <c r="A165" s="38" t="s">
        <v>3</v>
      </c>
      <c r="B165" s="38">
        <v>91.49</v>
      </c>
      <c r="C165" s="38">
        <v>91.5</v>
      </c>
      <c r="D165" s="38">
        <v>96.79</v>
      </c>
      <c r="E165" s="38">
        <v>96.79</v>
      </c>
      <c r="F165" s="38">
        <v>102</v>
      </c>
      <c r="G165" s="38">
        <v>102</v>
      </c>
      <c r="H165" s="38">
        <v>101.07</v>
      </c>
      <c r="I165" s="38">
        <v>100.5</v>
      </c>
      <c r="J165" s="38">
        <v>100.24</v>
      </c>
      <c r="K165" s="38">
        <v>101.18</v>
      </c>
      <c r="L165"/>
      <c r="M165"/>
      <c r="N165" s="40" t="s">
        <v>37</v>
      </c>
      <c r="O165" s="41">
        <v>15767.16</v>
      </c>
      <c r="P165" s="41">
        <v>16094.68</v>
      </c>
      <c r="Q165" s="41">
        <v>18112.34</v>
      </c>
      <c r="R165" s="41">
        <v>31938.83</v>
      </c>
      <c r="S165" s="41">
        <v>30116.33</v>
      </c>
      <c r="T165" s="41">
        <v>37089.410000000003</v>
      </c>
      <c r="U165" s="41">
        <v>55264.33</v>
      </c>
      <c r="V165" s="41">
        <v>59469.97</v>
      </c>
      <c r="W165" s="41">
        <v>57747.64</v>
      </c>
      <c r="X165" s="41">
        <v>57235.97</v>
      </c>
      <c r="Y165"/>
      <c r="Z165"/>
      <c r="AA165" t="s">
        <v>76</v>
      </c>
      <c r="AB165">
        <v>269.99</v>
      </c>
      <c r="AC165">
        <v>322.68</v>
      </c>
      <c r="AD165">
        <v>137.9</v>
      </c>
      <c r="AE165">
        <v>101.19</v>
      </c>
      <c r="AF165">
        <v>66.56</v>
      </c>
      <c r="AG165">
        <v>380.99</v>
      </c>
      <c r="AH165" s="1">
        <v>5552.37</v>
      </c>
      <c r="AI165" s="1">
        <v>2903.29</v>
      </c>
      <c r="AJ165" s="1">
        <v>3626.06</v>
      </c>
      <c r="AK165" s="1">
        <v>2910.43</v>
      </c>
    </row>
    <row r="166" spans="1:37" x14ac:dyDescent="0.35">
      <c r="A166" s="38" t="s">
        <v>4</v>
      </c>
      <c r="B166" s="39">
        <v>22974.18</v>
      </c>
      <c r="C166" s="39">
        <v>21674.7</v>
      </c>
      <c r="D166" s="39">
        <v>22690.97</v>
      </c>
      <c r="E166" s="39">
        <v>22446.97</v>
      </c>
      <c r="F166" s="39">
        <v>23607.07</v>
      </c>
      <c r="G166" s="39">
        <v>32540.11</v>
      </c>
      <c r="H166" s="39">
        <v>40259.410000000003</v>
      </c>
      <c r="I166" s="39">
        <v>40456.35</v>
      </c>
      <c r="J166" s="39">
        <v>45393.36</v>
      </c>
      <c r="K166" s="39">
        <v>49661.69</v>
      </c>
      <c r="L166"/>
      <c r="M166"/>
      <c r="N166" s="40" t="s">
        <v>38</v>
      </c>
      <c r="O166" s="41">
        <v>1996.9</v>
      </c>
      <c r="P166" s="41">
        <v>1645.51</v>
      </c>
      <c r="Q166" s="40">
        <v>457.87</v>
      </c>
      <c r="R166" s="41">
        <v>4075.5</v>
      </c>
      <c r="S166" s="41">
        <v>3792.71</v>
      </c>
      <c r="T166" s="41">
        <v>3743.22</v>
      </c>
      <c r="U166" s="41">
        <v>5752.8</v>
      </c>
      <c r="V166" s="41">
        <v>7789.55</v>
      </c>
      <c r="W166" s="41">
        <v>7738.25</v>
      </c>
      <c r="X166" s="41">
        <v>8092.6</v>
      </c>
      <c r="Y166"/>
      <c r="Z166"/>
      <c r="AA166" t="s">
        <v>77</v>
      </c>
      <c r="AB166" s="1">
        <v>4421.51</v>
      </c>
      <c r="AC166" s="1">
        <v>4063.89</v>
      </c>
      <c r="AD166" s="1">
        <v>4860.1899999999996</v>
      </c>
      <c r="AE166" s="1">
        <v>6987.51</v>
      </c>
      <c r="AF166" s="1">
        <v>7060.98</v>
      </c>
      <c r="AG166" s="1">
        <v>9760.1200000000008</v>
      </c>
      <c r="AH166" s="1">
        <v>14185.27</v>
      </c>
      <c r="AI166" s="1">
        <v>6351.03</v>
      </c>
      <c r="AJ166" s="1">
        <v>6909.07</v>
      </c>
      <c r="AK166" s="1">
        <v>11210.78</v>
      </c>
    </row>
    <row r="167" spans="1:37" x14ac:dyDescent="0.35">
      <c r="A167" s="38" t="s">
        <v>5</v>
      </c>
      <c r="B167" s="39">
        <v>23065.67</v>
      </c>
      <c r="C167" s="39">
        <v>21766.2</v>
      </c>
      <c r="D167" s="39">
        <v>22792.560000000001</v>
      </c>
      <c r="E167" s="39">
        <v>22548.560000000001</v>
      </c>
      <c r="F167" s="39">
        <v>23709.07</v>
      </c>
      <c r="G167" s="39">
        <v>32642.11</v>
      </c>
      <c r="H167" s="39">
        <v>40360.480000000003</v>
      </c>
      <c r="I167" s="39">
        <v>40556.85</v>
      </c>
      <c r="J167" s="39">
        <v>45493.599999999999</v>
      </c>
      <c r="K167" s="39">
        <v>49762.87</v>
      </c>
      <c r="L167"/>
      <c r="M167"/>
      <c r="N167" s="40" t="s">
        <v>39</v>
      </c>
      <c r="O167" s="41">
        <v>13770.26</v>
      </c>
      <c r="P167" s="41">
        <v>14449.17</v>
      </c>
      <c r="Q167" s="41">
        <v>17654.47</v>
      </c>
      <c r="R167" s="41">
        <v>27863.33</v>
      </c>
      <c r="S167" s="41">
        <v>26323.62</v>
      </c>
      <c r="T167" s="41">
        <v>33346.19</v>
      </c>
      <c r="U167" s="41">
        <v>49511.53</v>
      </c>
      <c r="V167" s="41">
        <v>51680.42</v>
      </c>
      <c r="W167" s="41">
        <v>50009.39</v>
      </c>
      <c r="X167" s="41">
        <v>49143.37</v>
      </c>
      <c r="Y167"/>
      <c r="Z167"/>
      <c r="AA167" t="s">
        <v>78</v>
      </c>
      <c r="AB167">
        <v>-2330.0700000000002</v>
      </c>
      <c r="AC167">
        <v>-1456.98</v>
      </c>
      <c r="AD167">
        <v>-671.78</v>
      </c>
      <c r="AE167">
        <v>-569.78</v>
      </c>
      <c r="AF167">
        <v>879.62</v>
      </c>
      <c r="AG167">
        <v>9119.2199999999993</v>
      </c>
      <c r="AH167">
        <v>11168.08</v>
      </c>
      <c r="AI167">
        <v>2872.07</v>
      </c>
      <c r="AJ167">
        <v>7150.7</v>
      </c>
      <c r="AK167">
        <v>4847.08</v>
      </c>
    </row>
    <row r="168" spans="1:37" x14ac:dyDescent="0.35">
      <c r="A168" s="38" t="s">
        <v>6</v>
      </c>
      <c r="B168" s="39">
        <v>19517.48</v>
      </c>
      <c r="C168" s="39">
        <v>20865.29</v>
      </c>
      <c r="D168" s="39">
        <v>19738.57</v>
      </c>
      <c r="E168" s="39">
        <v>17166.669999999998</v>
      </c>
      <c r="F168" s="39">
        <v>13671.16</v>
      </c>
      <c r="G168" s="39">
        <v>15176.39</v>
      </c>
      <c r="H168" s="39">
        <v>11791.9</v>
      </c>
      <c r="I168" s="39">
        <v>11163.33</v>
      </c>
      <c r="J168" s="39">
        <v>10118.6</v>
      </c>
      <c r="K168" s="39">
        <v>5166.18</v>
      </c>
      <c r="L168"/>
      <c r="M168"/>
      <c r="N168" s="40" t="s">
        <v>40</v>
      </c>
      <c r="O168" s="40">
        <v>23.47</v>
      </c>
      <c r="P168" s="40">
        <v>8.8800000000000008</v>
      </c>
      <c r="Q168" s="40">
        <v>0</v>
      </c>
      <c r="R168" s="40">
        <v>14.45</v>
      </c>
      <c r="S168" s="40">
        <v>0</v>
      </c>
      <c r="T168" s="40">
        <v>666.11</v>
      </c>
      <c r="U168" s="40">
        <v>102.01</v>
      </c>
      <c r="V168" s="40">
        <v>48.91</v>
      </c>
      <c r="W168" s="40">
        <v>84.47</v>
      </c>
      <c r="X168" s="40">
        <v>114.38</v>
      </c>
      <c r="Y168"/>
      <c r="Z168"/>
      <c r="AA168" t="s">
        <v>79</v>
      </c>
      <c r="AB168">
        <v>2148.14</v>
      </c>
      <c r="AC168">
        <v>2043.65</v>
      </c>
      <c r="AD168">
        <v>1909.66</v>
      </c>
      <c r="AE168">
        <v>2307.06</v>
      </c>
      <c r="AF168">
        <v>2287.08</v>
      </c>
      <c r="AG168">
        <v>2243.4499999999998</v>
      </c>
      <c r="AH168">
        <v>2232.16</v>
      </c>
      <c r="AI168">
        <v>2165.94</v>
      </c>
      <c r="AJ168">
        <v>2216.4699999999998</v>
      </c>
      <c r="AK168">
        <v>2272.4899999999998</v>
      </c>
    </row>
    <row r="169" spans="1:37" x14ac:dyDescent="0.35">
      <c r="A169" s="38" t="s">
        <v>7</v>
      </c>
      <c r="B169" s="39">
        <v>6224.39</v>
      </c>
      <c r="C169" s="39">
        <v>4460.8</v>
      </c>
      <c r="D169" s="39">
        <v>3441.64</v>
      </c>
      <c r="E169" s="39">
        <v>2533.3000000000002</v>
      </c>
      <c r="F169" s="39">
        <v>3163.46</v>
      </c>
      <c r="G169" s="39">
        <v>3787.46</v>
      </c>
      <c r="H169" s="39">
        <v>2125.89</v>
      </c>
      <c r="I169" s="39">
        <v>1294.92</v>
      </c>
      <c r="J169" s="39">
        <v>1574.45</v>
      </c>
      <c r="K169" s="39">
        <v>2314.54</v>
      </c>
      <c r="L169"/>
      <c r="M169"/>
      <c r="N169" s="40" t="s">
        <v>41</v>
      </c>
      <c r="O169" s="40">
        <v>-296.52999999999997</v>
      </c>
      <c r="P169" s="40">
        <v>-332.3</v>
      </c>
      <c r="Q169" s="40">
        <v>279.20999999999998</v>
      </c>
      <c r="R169" s="40">
        <v>109.71</v>
      </c>
      <c r="S169" s="40">
        <v>198.06</v>
      </c>
      <c r="T169" s="40">
        <v>-183.04</v>
      </c>
      <c r="U169" s="40">
        <v>711.42</v>
      </c>
      <c r="V169" s="40">
        <v>45.03</v>
      </c>
      <c r="W169" s="40">
        <v>-142.24</v>
      </c>
      <c r="X169" s="40">
        <v>-527.20000000000005</v>
      </c>
      <c r="Y169"/>
      <c r="Z169"/>
      <c r="AA169" t="s">
        <v>80</v>
      </c>
      <c r="AB169">
        <v>2620.09</v>
      </c>
      <c r="AC169">
        <v>2280.4</v>
      </c>
      <c r="AD169">
        <v>2391.15</v>
      </c>
      <c r="AE169">
        <v>2895.76</v>
      </c>
      <c r="AF169">
        <v>2610.62</v>
      </c>
      <c r="AG169">
        <v>2186.54</v>
      </c>
      <c r="AH169">
        <v>1414.79</v>
      </c>
      <c r="AI169">
        <v>1285.78</v>
      </c>
      <c r="AJ169">
        <v>920.79</v>
      </c>
      <c r="AK169">
        <v>620.02</v>
      </c>
    </row>
    <row r="170" spans="1:37" x14ac:dyDescent="0.35">
      <c r="A170" s="38" t="s">
        <v>8</v>
      </c>
      <c r="B170" s="39">
        <v>25741.87</v>
      </c>
      <c r="C170" s="39">
        <v>25326.09</v>
      </c>
      <c r="D170" s="39">
        <v>23180.21</v>
      </c>
      <c r="E170" s="39">
        <v>19699.97</v>
      </c>
      <c r="F170" s="39">
        <v>16834.62</v>
      </c>
      <c r="G170" s="39">
        <v>18963.849999999999</v>
      </c>
      <c r="H170" s="39">
        <v>13917.79</v>
      </c>
      <c r="I170" s="39">
        <v>12458.25</v>
      </c>
      <c r="J170" s="39">
        <v>11693.05</v>
      </c>
      <c r="K170" s="39">
        <v>7480.72</v>
      </c>
      <c r="L170"/>
      <c r="M170"/>
      <c r="N170" s="40" t="s">
        <v>42</v>
      </c>
      <c r="O170" s="41">
        <v>13497.2</v>
      </c>
      <c r="P170" s="41">
        <v>14125.75</v>
      </c>
      <c r="Q170" s="41">
        <v>17933.68</v>
      </c>
      <c r="R170" s="41">
        <v>27987.49</v>
      </c>
      <c r="S170" s="41">
        <v>26521.68</v>
      </c>
      <c r="T170" s="41">
        <v>33829.26</v>
      </c>
      <c r="U170" s="41">
        <v>50324.959999999999</v>
      </c>
      <c r="V170" s="41">
        <v>51774.36</v>
      </c>
      <c r="W170" s="41">
        <v>49951.62</v>
      </c>
      <c r="X170" s="41">
        <v>48730.55</v>
      </c>
      <c r="Y170"/>
      <c r="Z170"/>
      <c r="AA170" t="s">
        <v>82</v>
      </c>
      <c r="AB170">
        <v>-2.82</v>
      </c>
      <c r="AC170">
        <v>8.0299999999999994</v>
      </c>
      <c r="AD170">
        <v>143.41999999999999</v>
      </c>
      <c r="AE170">
        <v>-0.69</v>
      </c>
      <c r="AF170">
        <v>8.77</v>
      </c>
      <c r="AG170">
        <v>11.95</v>
      </c>
      <c r="AH170">
        <v>28.81</v>
      </c>
      <c r="AI170">
        <v>-9.5399999999999991</v>
      </c>
      <c r="AJ170">
        <v>5.63</v>
      </c>
      <c r="AK170">
        <v>-4.55</v>
      </c>
    </row>
    <row r="171" spans="1:37" x14ac:dyDescent="0.35">
      <c r="A171" s="38" t="s">
        <v>9</v>
      </c>
      <c r="B171" s="38">
        <v>318.51</v>
      </c>
      <c r="C171" s="39">
        <v>3575.22</v>
      </c>
      <c r="D171" s="39">
        <v>3611.17</v>
      </c>
      <c r="E171" s="39">
        <v>3262.17</v>
      </c>
      <c r="F171" s="39">
        <v>3892.27</v>
      </c>
      <c r="G171" s="39">
        <v>3309.99</v>
      </c>
      <c r="H171" s="39">
        <v>3356.87</v>
      </c>
      <c r="I171" s="38">
        <v>537.02</v>
      </c>
      <c r="J171" s="38">
        <v>360.53</v>
      </c>
      <c r="K171" s="38">
        <v>382.37</v>
      </c>
      <c r="L171"/>
      <c r="M171"/>
      <c r="N171" s="40" t="s">
        <v>43</v>
      </c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/>
      <c r="Z171"/>
      <c r="AA171" t="s">
        <v>83</v>
      </c>
      <c r="AB171">
        <v>-20.8</v>
      </c>
      <c r="AC171">
        <v>-316.7</v>
      </c>
      <c r="AD171">
        <v>-249.4</v>
      </c>
      <c r="AE171">
        <v>0</v>
      </c>
      <c r="AF171">
        <v>0</v>
      </c>
      <c r="AG171">
        <v>-4.45</v>
      </c>
      <c r="AH171">
        <v>-33.869999999999997</v>
      </c>
      <c r="AI171">
        <v>-36.32</v>
      </c>
      <c r="AJ171">
        <v>-80.83</v>
      </c>
      <c r="AK171">
        <v>-87.99</v>
      </c>
    </row>
    <row r="172" spans="1:37" x14ac:dyDescent="0.35">
      <c r="A172" s="38" t="s">
        <v>10</v>
      </c>
      <c r="B172" s="39">
        <v>49126.05</v>
      </c>
      <c r="C172" s="39">
        <v>50667.51</v>
      </c>
      <c r="D172" s="39">
        <v>49583.94</v>
      </c>
      <c r="E172" s="39">
        <v>45510.7</v>
      </c>
      <c r="F172" s="39">
        <v>44435.96</v>
      </c>
      <c r="G172" s="39">
        <v>54915.95</v>
      </c>
      <c r="H172" s="39">
        <v>57635.14</v>
      </c>
      <c r="I172" s="39">
        <v>53552.12</v>
      </c>
      <c r="J172" s="39">
        <v>57547.18</v>
      </c>
      <c r="K172" s="39">
        <v>57625.96</v>
      </c>
      <c r="L172"/>
      <c r="M172"/>
      <c r="N172" s="40" t="s">
        <v>44</v>
      </c>
      <c r="O172" s="41">
        <v>5312.35</v>
      </c>
      <c r="P172" s="41">
        <v>5158.6899999999996</v>
      </c>
      <c r="Q172" s="41">
        <v>7116.57</v>
      </c>
      <c r="R172" s="41">
        <v>13027.28</v>
      </c>
      <c r="S172" s="41">
        <v>11570.13</v>
      </c>
      <c r="T172" s="41">
        <v>10297.48</v>
      </c>
      <c r="U172" s="41">
        <v>20774.400000000001</v>
      </c>
      <c r="V172" s="41">
        <v>24425.84</v>
      </c>
      <c r="W172" s="41">
        <v>23642.37</v>
      </c>
      <c r="X172" s="41">
        <v>24797.51</v>
      </c>
      <c r="Y172"/>
      <c r="Z172"/>
      <c r="AA172" t="s">
        <v>84</v>
      </c>
      <c r="AB172">
        <v>-37.44</v>
      </c>
      <c r="AC172">
        <v>10.199999999999999</v>
      </c>
      <c r="AD172">
        <v>314.77999999999997</v>
      </c>
      <c r="AE172">
        <v>-42.05</v>
      </c>
      <c r="AF172">
        <v>-20.37</v>
      </c>
      <c r="AG172">
        <v>-31.04</v>
      </c>
      <c r="AH172">
        <v>-23.46</v>
      </c>
      <c r="AI172">
        <v>-132.34</v>
      </c>
      <c r="AJ172">
        <v>-8.42</v>
      </c>
      <c r="AK172">
        <v>29.32</v>
      </c>
    </row>
    <row r="173" spans="1:37" x14ac:dyDescent="0.35">
      <c r="A173" s="38" t="s">
        <v>11</v>
      </c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/>
      <c r="M173"/>
      <c r="N173" s="40" t="s">
        <v>45</v>
      </c>
      <c r="O173" s="41">
        <v>2193.7600000000002</v>
      </c>
      <c r="P173" s="41">
        <v>2343.35</v>
      </c>
      <c r="Q173" s="41">
        <v>2841.9</v>
      </c>
      <c r="R173" s="41">
        <v>3423.24</v>
      </c>
      <c r="S173" s="41">
        <v>4043.73</v>
      </c>
      <c r="T173" s="41">
        <v>3935.63</v>
      </c>
      <c r="U173" s="41">
        <v>6158.68</v>
      </c>
      <c r="V173" s="41">
        <v>9025.6200000000008</v>
      </c>
      <c r="W173" s="41">
        <v>6576.02</v>
      </c>
      <c r="X173" s="41">
        <v>5312.91</v>
      </c>
      <c r="Y173"/>
      <c r="Z173"/>
      <c r="AA173" t="s">
        <v>85</v>
      </c>
      <c r="AB173">
        <v>-50.85</v>
      </c>
      <c r="AC173">
        <v>-2.0299999999999998</v>
      </c>
      <c r="AD173">
        <v>23.16</v>
      </c>
      <c r="AE173">
        <v>-34.409999999999997</v>
      </c>
      <c r="AF173">
        <v>-177.18</v>
      </c>
      <c r="AG173">
        <v>99.16</v>
      </c>
      <c r="AH173">
        <v>-280.81</v>
      </c>
      <c r="AI173">
        <v>-907.61</v>
      </c>
      <c r="AJ173">
        <v>-76.13</v>
      </c>
      <c r="AK173">
        <v>-150.24</v>
      </c>
    </row>
    <row r="174" spans="1:37" x14ac:dyDescent="0.35">
      <c r="A174" s="38" t="s">
        <v>12</v>
      </c>
      <c r="B174" s="39">
        <v>45153.52</v>
      </c>
      <c r="C174" s="39">
        <v>45697.42</v>
      </c>
      <c r="D174" s="39">
        <v>51779.46</v>
      </c>
      <c r="E174" s="39">
        <v>52782.51</v>
      </c>
      <c r="F174" s="39">
        <v>55097.54</v>
      </c>
      <c r="G174" s="39">
        <v>55548.55</v>
      </c>
      <c r="H174" s="39">
        <v>56295.21</v>
      </c>
      <c r="I174" s="39">
        <v>57157.05</v>
      </c>
      <c r="J174" s="39">
        <v>58730.29</v>
      </c>
      <c r="K174" s="39">
        <v>61328.74</v>
      </c>
      <c r="L174"/>
      <c r="M174"/>
      <c r="N174" s="40" t="s">
        <v>46</v>
      </c>
      <c r="O174" s="40">
        <v>553.82000000000005</v>
      </c>
      <c r="P174" s="40">
        <v>531.6</v>
      </c>
      <c r="Q174" s="40">
        <v>525.17999999999995</v>
      </c>
      <c r="R174" s="40">
        <v>619.77</v>
      </c>
      <c r="S174" s="40">
        <v>678.67</v>
      </c>
      <c r="T174" s="40">
        <v>675.86</v>
      </c>
      <c r="U174" s="40">
        <v>724.59</v>
      </c>
      <c r="V174" s="40">
        <v>874.21</v>
      </c>
      <c r="W174" s="40">
        <v>923.85</v>
      </c>
      <c r="X174" s="40">
        <v>972.64</v>
      </c>
      <c r="Y174"/>
      <c r="Z174"/>
      <c r="AA174" t="s">
        <v>86</v>
      </c>
      <c r="AB174">
        <v>-5.12</v>
      </c>
      <c r="AC174">
        <v>-7.9</v>
      </c>
      <c r="AD174">
        <v>-7.11</v>
      </c>
      <c r="AE174">
        <v>1391.26</v>
      </c>
      <c r="AF174">
        <v>24.29</v>
      </c>
      <c r="AG174">
        <v>-473.24</v>
      </c>
      <c r="AH174">
        <v>259.52</v>
      </c>
      <c r="AI174">
        <v>3222.84</v>
      </c>
      <c r="AJ174">
        <v>-5.14</v>
      </c>
      <c r="AK174">
        <v>1287.5999999999999</v>
      </c>
    </row>
    <row r="175" spans="1:37" x14ac:dyDescent="0.35">
      <c r="A175" s="38" t="s">
        <v>13</v>
      </c>
      <c r="B175" s="39">
        <v>2130.21</v>
      </c>
      <c r="C175" s="39">
        <v>4221.54</v>
      </c>
      <c r="D175" s="39">
        <v>6143.03</v>
      </c>
      <c r="E175" s="39">
        <v>8419.7900000000009</v>
      </c>
      <c r="F175" s="39">
        <v>10625.6</v>
      </c>
      <c r="G175" s="39">
        <v>12826.89</v>
      </c>
      <c r="H175" s="39">
        <v>14936.95</v>
      </c>
      <c r="I175" s="39">
        <v>17073.560000000001</v>
      </c>
      <c r="J175" s="39">
        <v>19257.259999999998</v>
      </c>
      <c r="K175" s="39">
        <v>21491.43</v>
      </c>
      <c r="L175"/>
      <c r="M175"/>
      <c r="N175" s="40" t="s">
        <v>47</v>
      </c>
      <c r="O175" s="41">
        <v>2181.46</v>
      </c>
      <c r="P175" s="41">
        <v>2097.37</v>
      </c>
      <c r="Q175" s="41">
        <v>2819.97</v>
      </c>
      <c r="R175" s="41">
        <v>3547.88</v>
      </c>
      <c r="S175" s="41">
        <v>3227.56</v>
      </c>
      <c r="T175" s="41">
        <v>2981.8</v>
      </c>
      <c r="U175" s="41">
        <v>4456.68</v>
      </c>
      <c r="V175" s="41">
        <v>6192.29</v>
      </c>
      <c r="W175" s="41">
        <v>6070.03</v>
      </c>
      <c r="X175" s="41">
        <v>6164.47</v>
      </c>
      <c r="Y175"/>
      <c r="Z175"/>
      <c r="AA175" t="s">
        <v>87</v>
      </c>
      <c r="AB175">
        <v>4651.2</v>
      </c>
      <c r="AC175">
        <v>4015.65</v>
      </c>
      <c r="AD175">
        <v>4525.66</v>
      </c>
      <c r="AE175">
        <v>6516.93</v>
      </c>
      <c r="AF175">
        <v>4733.21</v>
      </c>
      <c r="AG175">
        <v>4032.37</v>
      </c>
      <c r="AH175">
        <v>3597.14</v>
      </c>
      <c r="AI175">
        <v>5588.7</v>
      </c>
      <c r="AJ175">
        <v>2972.28</v>
      </c>
      <c r="AK175">
        <v>3966.3</v>
      </c>
    </row>
    <row r="176" spans="1:37" x14ac:dyDescent="0.35">
      <c r="A176" s="38" t="s">
        <v>15</v>
      </c>
      <c r="B176" s="39">
        <v>43023.31</v>
      </c>
      <c r="C176" s="39">
        <v>41475.879999999997</v>
      </c>
      <c r="D176" s="39">
        <v>45636.43</v>
      </c>
      <c r="E176" s="39">
        <v>44362.720000000001</v>
      </c>
      <c r="F176" s="39">
        <v>44471.94</v>
      </c>
      <c r="G176" s="39">
        <v>42721.66</v>
      </c>
      <c r="H176" s="39">
        <v>41358.26</v>
      </c>
      <c r="I176" s="39">
        <v>40083.49</v>
      </c>
      <c r="J176" s="39">
        <v>39473.03</v>
      </c>
      <c r="K176" s="39">
        <v>39837.31</v>
      </c>
      <c r="L176"/>
      <c r="M176"/>
      <c r="N176" s="40" t="s">
        <v>48</v>
      </c>
      <c r="O176" s="40">
        <v>389.17</v>
      </c>
      <c r="P176" s="40">
        <v>713.66</v>
      </c>
      <c r="Q176" s="40">
        <v>813.49</v>
      </c>
      <c r="R176" s="41">
        <v>1011.42</v>
      </c>
      <c r="S176" s="40">
        <v>924.57</v>
      </c>
      <c r="T176" s="41">
        <v>1760.04</v>
      </c>
      <c r="U176" s="41">
        <v>2761.32</v>
      </c>
      <c r="V176" s="41">
        <v>2097.36</v>
      </c>
      <c r="W176" s="41">
        <v>1686.81</v>
      </c>
      <c r="X176" s="41">
        <v>1599.96</v>
      </c>
      <c r="Y176"/>
      <c r="Z176"/>
      <c r="AA176" t="s">
        <v>88</v>
      </c>
      <c r="AB176">
        <v>2321.13</v>
      </c>
      <c r="AC176">
        <v>2558.67</v>
      </c>
      <c r="AD176">
        <v>3853.88</v>
      </c>
      <c r="AE176">
        <v>5947.15</v>
      </c>
      <c r="AF176">
        <v>5612.83</v>
      </c>
      <c r="AG176">
        <v>13151.59</v>
      </c>
      <c r="AH176">
        <v>14765.22</v>
      </c>
      <c r="AI176">
        <v>8460.77</v>
      </c>
      <c r="AJ176">
        <v>10122.98</v>
      </c>
      <c r="AK176">
        <v>8813.3799999999992</v>
      </c>
    </row>
    <row r="177" spans="1:37" x14ac:dyDescent="0.35">
      <c r="A177" s="38" t="s">
        <v>16</v>
      </c>
      <c r="B177" s="39">
        <v>5685.74</v>
      </c>
      <c r="C177" s="39">
        <v>7529.23</v>
      </c>
      <c r="D177" s="39">
        <v>2689.29</v>
      </c>
      <c r="E177" s="39">
        <v>1624.12</v>
      </c>
      <c r="F177" s="38">
        <v>851.46</v>
      </c>
      <c r="G177" s="38">
        <v>604.02</v>
      </c>
      <c r="H177" s="38">
        <v>759.58</v>
      </c>
      <c r="I177" s="39">
        <v>2118.73</v>
      </c>
      <c r="J177" s="39">
        <v>3802.21</v>
      </c>
      <c r="K177" s="39">
        <v>5474.76</v>
      </c>
      <c r="L177"/>
      <c r="M177"/>
      <c r="N177" s="40" t="s">
        <v>49</v>
      </c>
      <c r="O177" s="40">
        <v>402.09</v>
      </c>
      <c r="P177" s="40">
        <v>370.43</v>
      </c>
      <c r="Q177" s="40">
        <v>776.84</v>
      </c>
      <c r="R177" s="41">
        <v>1872.22</v>
      </c>
      <c r="S177" s="40">
        <v>395.08</v>
      </c>
      <c r="T177" s="40">
        <v>667.6</v>
      </c>
      <c r="U177" s="40">
        <v>714.34</v>
      </c>
      <c r="V177" s="41">
        <v>3335.59</v>
      </c>
      <c r="W177" s="41">
        <v>1092.27</v>
      </c>
      <c r="X177" s="41">
        <v>2468.81</v>
      </c>
      <c r="Y177"/>
      <c r="Z177"/>
      <c r="AA177" t="s">
        <v>89</v>
      </c>
      <c r="AB177">
        <v>486.13</v>
      </c>
      <c r="AC177">
        <v>22</v>
      </c>
      <c r="AD177">
        <v>-27.11</v>
      </c>
      <c r="AE177">
        <v>-120.76</v>
      </c>
      <c r="AF177">
        <v>-60.16</v>
      </c>
      <c r="AG177">
        <v>-1007.19</v>
      </c>
      <c r="AH177">
        <v>767.36</v>
      </c>
      <c r="AI177">
        <v>76.430000000000007</v>
      </c>
      <c r="AJ177">
        <v>-1113.26</v>
      </c>
      <c r="AK177">
        <v>852.04</v>
      </c>
    </row>
    <row r="178" spans="1:37" x14ac:dyDescent="0.35">
      <c r="A178" s="38" t="s">
        <v>17</v>
      </c>
      <c r="B178" s="39">
        <v>1476.94</v>
      </c>
      <c r="C178" s="39">
        <v>1485.25</v>
      </c>
      <c r="D178" s="39">
        <v>1490.36</v>
      </c>
      <c r="E178" s="39">
        <v>1692.92</v>
      </c>
      <c r="F178" s="39">
        <v>1698.85</v>
      </c>
      <c r="G178" s="39">
        <v>5557.53</v>
      </c>
      <c r="H178" s="39">
        <v>6315.98</v>
      </c>
      <c r="I178" s="39">
        <v>5692.68</v>
      </c>
      <c r="J178" s="39">
        <v>7530.87</v>
      </c>
      <c r="K178" s="39">
        <v>9869.34</v>
      </c>
      <c r="L178"/>
      <c r="M178"/>
      <c r="N178" s="40" t="s">
        <v>50</v>
      </c>
      <c r="O178" s="40">
        <v>0</v>
      </c>
      <c r="P178" s="40">
        <v>0</v>
      </c>
      <c r="Q178" s="40">
        <v>589.29999999999995</v>
      </c>
      <c r="R178" s="40">
        <v>147.36000000000001</v>
      </c>
      <c r="S178" s="40">
        <v>95.37</v>
      </c>
      <c r="T178" s="40">
        <v>38.36</v>
      </c>
      <c r="U178" s="40">
        <v>80.08</v>
      </c>
      <c r="V178" s="40">
        <v>500.34</v>
      </c>
      <c r="W178" s="40">
        <v>327.69</v>
      </c>
      <c r="X178" s="40">
        <v>325.33999999999997</v>
      </c>
      <c r="Y178"/>
      <c r="Z178"/>
      <c r="AA178" t="s">
        <v>90</v>
      </c>
      <c r="AB178">
        <v>1257.32</v>
      </c>
      <c r="AC178">
        <v>552.09</v>
      </c>
      <c r="AD178">
        <v>-1211.92</v>
      </c>
      <c r="AE178">
        <v>-772.12</v>
      </c>
      <c r="AF178">
        <v>6.22</v>
      </c>
      <c r="AG178">
        <v>-704.7</v>
      </c>
      <c r="AH178">
        <v>-2458.84</v>
      </c>
      <c r="AI178">
        <v>1588.82</v>
      </c>
      <c r="AJ178">
        <v>-513.89</v>
      </c>
      <c r="AK178">
        <v>1226.07</v>
      </c>
    </row>
    <row r="179" spans="1:37" x14ac:dyDescent="0.35">
      <c r="A179" s="38" t="s">
        <v>18</v>
      </c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/>
      <c r="M179"/>
      <c r="N179" s="40" t="s">
        <v>51</v>
      </c>
      <c r="O179" s="41">
        <v>11032.65</v>
      </c>
      <c r="P179" s="41">
        <v>11215.1</v>
      </c>
      <c r="Q179" s="41">
        <v>14304.65</v>
      </c>
      <c r="R179" s="41">
        <v>23354.45</v>
      </c>
      <c r="S179" s="41">
        <v>20744.37</v>
      </c>
      <c r="T179" s="41">
        <v>20280.05</v>
      </c>
      <c r="U179" s="41">
        <v>35509.93</v>
      </c>
      <c r="V179" s="41">
        <v>45450.57</v>
      </c>
      <c r="W179" s="41">
        <v>39663.660000000003</v>
      </c>
      <c r="X179" s="41">
        <v>40990.959999999999</v>
      </c>
      <c r="Y179"/>
      <c r="Z179"/>
      <c r="AA179" t="s">
        <v>91</v>
      </c>
      <c r="AB179">
        <v>519.24</v>
      </c>
      <c r="AC179">
        <v>447.15</v>
      </c>
      <c r="AD179">
        <v>1012.16</v>
      </c>
      <c r="AE179">
        <v>864.17</v>
      </c>
      <c r="AF179">
        <v>840.11</v>
      </c>
      <c r="AG179">
        <v>-815.04</v>
      </c>
      <c r="AH179">
        <v>1481.39</v>
      </c>
      <c r="AI179">
        <v>-836.53</v>
      </c>
      <c r="AJ179">
        <v>-189.7</v>
      </c>
      <c r="AK179">
        <v>815.34</v>
      </c>
    </row>
    <row r="180" spans="1:37" x14ac:dyDescent="0.35">
      <c r="A180" s="38" t="s">
        <v>19</v>
      </c>
      <c r="B180" s="39">
        <v>2439.06</v>
      </c>
      <c r="C180" s="39">
        <v>1886.97</v>
      </c>
      <c r="D180" s="39">
        <v>3098.89</v>
      </c>
      <c r="E180" s="39">
        <v>3893.18</v>
      </c>
      <c r="F180" s="39">
        <v>3886.96</v>
      </c>
      <c r="G180" s="39">
        <v>4591.67</v>
      </c>
      <c r="H180" s="39">
        <v>7050.51</v>
      </c>
      <c r="I180" s="39">
        <v>5463.09</v>
      </c>
      <c r="J180" s="39">
        <v>5976.98</v>
      </c>
      <c r="K180" s="39">
        <v>4750.91</v>
      </c>
      <c r="L180"/>
      <c r="M180"/>
      <c r="N180" s="40" t="s">
        <v>52</v>
      </c>
      <c r="O180" s="41">
        <v>2464.5500000000002</v>
      </c>
      <c r="P180" s="41">
        <v>2910.65</v>
      </c>
      <c r="Q180" s="41">
        <v>3629.03</v>
      </c>
      <c r="R180" s="41">
        <v>4633.04</v>
      </c>
      <c r="S180" s="41">
        <v>5777.31</v>
      </c>
      <c r="T180" s="41">
        <v>13549.21</v>
      </c>
      <c r="U180" s="41">
        <v>14815.03</v>
      </c>
      <c r="V180" s="41">
        <v>6323.79</v>
      </c>
      <c r="W180" s="41">
        <v>10287.959999999999</v>
      </c>
      <c r="X180" s="41">
        <v>7739.59</v>
      </c>
      <c r="Y180"/>
      <c r="Z180"/>
      <c r="AA180" t="s">
        <v>86</v>
      </c>
      <c r="AB180">
        <v>-186.71</v>
      </c>
      <c r="AC180">
        <v>482.65</v>
      </c>
      <c r="AD180">
        <v>1243.3699999999999</v>
      </c>
      <c r="AE180">
        <v>993.98</v>
      </c>
      <c r="AF180">
        <v>579.97</v>
      </c>
      <c r="AG180">
        <v>-875.26</v>
      </c>
      <c r="AH180">
        <v>1521.36</v>
      </c>
      <c r="AI180">
        <v>-288.45999999999998</v>
      </c>
      <c r="AJ180">
        <v>-952.44</v>
      </c>
      <c r="AK180">
        <v>965.65</v>
      </c>
    </row>
    <row r="181" spans="1:37" x14ac:dyDescent="0.35">
      <c r="A181" s="38" t="s">
        <v>20</v>
      </c>
      <c r="B181" s="38">
        <v>830.86</v>
      </c>
      <c r="C181" s="38">
        <v>797.2</v>
      </c>
      <c r="D181" s="38">
        <v>794.31</v>
      </c>
      <c r="E181" s="38">
        <v>903.6</v>
      </c>
      <c r="F181" s="38">
        <v>963.23</v>
      </c>
      <c r="G181" s="39">
        <v>1960.75</v>
      </c>
      <c r="H181" s="39">
        <v>1210.47</v>
      </c>
      <c r="I181" s="39">
        <v>1130.5</v>
      </c>
      <c r="J181" s="39">
        <v>2191.48</v>
      </c>
      <c r="K181" s="39">
        <v>1324.06</v>
      </c>
      <c r="L181"/>
      <c r="M181"/>
      <c r="N181" s="40" t="s">
        <v>53</v>
      </c>
      <c r="O181" s="41">
        <v>2646.48</v>
      </c>
      <c r="P181" s="41">
        <v>2323.98</v>
      </c>
      <c r="Q181" s="41">
        <v>2391.15</v>
      </c>
      <c r="R181" s="41">
        <v>2895.76</v>
      </c>
      <c r="S181" s="41">
        <v>2610.61</v>
      </c>
      <c r="T181" s="41">
        <v>2186.54</v>
      </c>
      <c r="U181" s="41">
        <v>1414.79</v>
      </c>
      <c r="V181" s="41">
        <v>1285.78</v>
      </c>
      <c r="W181" s="40">
        <v>920.79</v>
      </c>
      <c r="X181" s="40">
        <v>620.02</v>
      </c>
      <c r="Y181"/>
      <c r="Z181"/>
      <c r="AA181" t="s">
        <v>92</v>
      </c>
      <c r="AB181">
        <v>2109.4499999999998</v>
      </c>
      <c r="AC181">
        <v>1514.74</v>
      </c>
      <c r="AD181">
        <v>1016.5</v>
      </c>
      <c r="AE181">
        <v>965.27</v>
      </c>
      <c r="AF181">
        <v>1366.14</v>
      </c>
      <c r="AG181">
        <v>-3402.19</v>
      </c>
      <c r="AH181">
        <v>1311.27</v>
      </c>
      <c r="AI181">
        <v>540.26</v>
      </c>
      <c r="AJ181">
        <v>-2769.29</v>
      </c>
      <c r="AK181">
        <v>3859.1</v>
      </c>
    </row>
    <row r="182" spans="1:37" x14ac:dyDescent="0.35">
      <c r="A182" s="38" t="s">
        <v>21</v>
      </c>
      <c r="B182" s="38">
        <v>331.94</v>
      </c>
      <c r="C182" s="38">
        <v>146.16999999999999</v>
      </c>
      <c r="D182" s="38">
        <v>126.11</v>
      </c>
      <c r="E182" s="38">
        <v>100.8</v>
      </c>
      <c r="F182" s="38">
        <v>515.59</v>
      </c>
      <c r="G182" s="39">
        <v>5687.4</v>
      </c>
      <c r="H182" s="39">
        <v>3055.82</v>
      </c>
      <c r="I182" s="39">
        <v>4022.96</v>
      </c>
      <c r="J182" s="39">
        <v>3489.45</v>
      </c>
      <c r="K182" s="39">
        <v>3564.65</v>
      </c>
      <c r="L182"/>
      <c r="M182"/>
      <c r="N182" s="40" t="s">
        <v>54</v>
      </c>
      <c r="O182" s="40">
        <v>-181.93</v>
      </c>
      <c r="P182" s="40">
        <v>586.66999999999996</v>
      </c>
      <c r="Q182" s="41">
        <v>1237.8800000000001</v>
      </c>
      <c r="R182" s="41">
        <v>1737.28</v>
      </c>
      <c r="S182" s="41">
        <v>3166.7</v>
      </c>
      <c r="T182" s="41">
        <v>11362.67</v>
      </c>
      <c r="U182" s="41">
        <v>13400.24</v>
      </c>
      <c r="V182" s="41">
        <v>5038.01</v>
      </c>
      <c r="W182" s="41">
        <v>9367.17</v>
      </c>
      <c r="X182" s="41">
        <v>7119.57</v>
      </c>
      <c r="Y182"/>
      <c r="Z182"/>
      <c r="AA182" t="s">
        <v>93</v>
      </c>
      <c r="AB182">
        <v>4430.58</v>
      </c>
      <c r="AC182">
        <v>4073.41</v>
      </c>
      <c r="AD182">
        <v>4870.38</v>
      </c>
      <c r="AE182">
        <v>6912.42</v>
      </c>
      <c r="AF182">
        <v>6978.97</v>
      </c>
      <c r="AG182">
        <v>9749.4</v>
      </c>
      <c r="AH182">
        <v>16076.49</v>
      </c>
      <c r="AI182">
        <v>9001.0300000000007</v>
      </c>
      <c r="AJ182">
        <v>7353.69</v>
      </c>
      <c r="AK182">
        <v>12672.48</v>
      </c>
    </row>
    <row r="183" spans="1:37" x14ac:dyDescent="0.35">
      <c r="A183" s="38" t="s">
        <v>22</v>
      </c>
      <c r="B183" s="39">
        <v>5843.51</v>
      </c>
      <c r="C183" s="39">
        <v>6001.89</v>
      </c>
      <c r="D183" s="39">
        <v>5692.55</v>
      </c>
      <c r="E183" s="39">
        <v>4524.2</v>
      </c>
      <c r="F183" s="39">
        <v>6145.73</v>
      </c>
      <c r="G183" s="39">
        <v>3203.91</v>
      </c>
      <c r="H183" s="39">
        <v>6136.96</v>
      </c>
      <c r="I183" s="39">
        <v>2106.15</v>
      </c>
      <c r="J183" s="39">
        <v>2623.75</v>
      </c>
      <c r="K183" s="39">
        <v>2257.84</v>
      </c>
      <c r="L183"/>
      <c r="M183"/>
      <c r="N183" s="40" t="s">
        <v>55</v>
      </c>
      <c r="O183" s="41">
        <v>2148.14</v>
      </c>
      <c r="P183" s="41">
        <v>2043.65</v>
      </c>
      <c r="Q183" s="41">
        <v>1909.66</v>
      </c>
      <c r="R183" s="41">
        <v>2307.06</v>
      </c>
      <c r="S183" s="41">
        <v>2287.08</v>
      </c>
      <c r="T183" s="41">
        <v>2243.4499999999998</v>
      </c>
      <c r="U183" s="41">
        <v>2232.16</v>
      </c>
      <c r="V183" s="41">
        <v>2165.94</v>
      </c>
      <c r="W183" s="41">
        <v>2216.4699999999998</v>
      </c>
      <c r="X183" s="41">
        <v>2272.4899999999998</v>
      </c>
      <c r="Y183"/>
      <c r="Z183"/>
      <c r="AA183" t="s">
        <v>94</v>
      </c>
      <c r="AB183">
        <v>-9.07</v>
      </c>
      <c r="AC183">
        <v>-9.52</v>
      </c>
      <c r="AD183">
        <v>-10.19</v>
      </c>
      <c r="AE183">
        <v>75.09</v>
      </c>
      <c r="AF183">
        <v>82.01</v>
      </c>
      <c r="AG183">
        <v>10.72</v>
      </c>
      <c r="AH183">
        <v>-1891.22</v>
      </c>
      <c r="AI183">
        <v>-2650</v>
      </c>
      <c r="AJ183">
        <v>-444.62</v>
      </c>
      <c r="AK183">
        <v>-1461.7</v>
      </c>
    </row>
    <row r="184" spans="1:37" x14ac:dyDescent="0.35">
      <c r="A184" s="38" t="s">
        <v>23</v>
      </c>
      <c r="B184" s="39">
        <v>9445.3700000000008</v>
      </c>
      <c r="C184" s="39">
        <v>8832.23</v>
      </c>
      <c r="D184" s="39">
        <v>9711.86</v>
      </c>
      <c r="E184" s="39">
        <v>9421.7800000000007</v>
      </c>
      <c r="F184" s="39">
        <v>11511.51</v>
      </c>
      <c r="G184" s="39">
        <v>15443.73</v>
      </c>
      <c r="H184" s="39">
        <v>17453.759999999998</v>
      </c>
      <c r="I184" s="39">
        <v>12722.7</v>
      </c>
      <c r="J184" s="39">
        <v>14281.66</v>
      </c>
      <c r="K184" s="39">
        <v>11897.46</v>
      </c>
      <c r="L184"/>
      <c r="M184"/>
      <c r="N184" s="40" t="s">
        <v>56</v>
      </c>
      <c r="O184" s="41">
        <v>-2330.0700000000002</v>
      </c>
      <c r="P184" s="41">
        <v>-1456.98</v>
      </c>
      <c r="Q184" s="40">
        <v>-671.78</v>
      </c>
      <c r="R184" s="40">
        <v>-569.78</v>
      </c>
      <c r="S184" s="40">
        <v>879.62</v>
      </c>
      <c r="T184" s="41">
        <v>9119.2199999999993</v>
      </c>
      <c r="U184" s="41">
        <v>11168.08</v>
      </c>
      <c r="V184" s="41">
        <v>2872.07</v>
      </c>
      <c r="W184" s="41">
        <v>7150.7</v>
      </c>
      <c r="X184" s="41">
        <v>4847.08</v>
      </c>
      <c r="Y184"/>
      <c r="Z184"/>
      <c r="AA184" t="s">
        <v>95</v>
      </c>
      <c r="AB184">
        <v>-9.07</v>
      </c>
      <c r="AC184">
        <v>-9.52</v>
      </c>
      <c r="AD184">
        <v>-10.19</v>
      </c>
      <c r="AE184">
        <v>75.09</v>
      </c>
      <c r="AF184">
        <v>82.01</v>
      </c>
      <c r="AG184">
        <v>10.72</v>
      </c>
      <c r="AH184">
        <v>-1891.22</v>
      </c>
      <c r="AI184">
        <v>-2650</v>
      </c>
      <c r="AJ184">
        <v>-444.62</v>
      </c>
      <c r="AK184">
        <v>-1461.7</v>
      </c>
    </row>
    <row r="185" spans="1:37" x14ac:dyDescent="0.35">
      <c r="A185" s="38" t="s">
        <v>24</v>
      </c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/>
      <c r="M185"/>
      <c r="N185" s="40" t="s">
        <v>57</v>
      </c>
      <c r="O185" s="40">
        <v>0</v>
      </c>
      <c r="P185" s="40">
        <v>0</v>
      </c>
      <c r="Q185" s="40">
        <v>0</v>
      </c>
      <c r="R185" s="40">
        <v>0</v>
      </c>
      <c r="S185" s="40">
        <v>753.39</v>
      </c>
      <c r="T185" s="40">
        <v>-75.27</v>
      </c>
      <c r="U185" s="41">
        <v>2449.48</v>
      </c>
      <c r="V185" s="41">
        <v>2596.54</v>
      </c>
      <c r="W185" s="40">
        <v>259.94</v>
      </c>
      <c r="X185" s="41">
        <v>1579.42</v>
      </c>
      <c r="Y185"/>
      <c r="Z185"/>
      <c r="AA185" t="s">
        <v>96</v>
      </c>
      <c r="AB185">
        <v>4421.51</v>
      </c>
      <c r="AC185">
        <v>4063.89</v>
      </c>
      <c r="AD185">
        <v>4860.1899999999996</v>
      </c>
      <c r="AE185">
        <v>6987.51</v>
      </c>
      <c r="AF185">
        <v>7060.98</v>
      </c>
      <c r="AG185">
        <v>9760.1200000000008</v>
      </c>
      <c r="AH185">
        <v>14185.27</v>
      </c>
      <c r="AI185">
        <v>6351.03</v>
      </c>
      <c r="AJ185">
        <v>6909.07</v>
      </c>
      <c r="AK185">
        <v>11210.78</v>
      </c>
    </row>
    <row r="186" spans="1:37" x14ac:dyDescent="0.35">
      <c r="A186" s="38" t="s">
        <v>25</v>
      </c>
      <c r="B186" s="39">
        <v>6979.5</v>
      </c>
      <c r="C186" s="39">
        <v>5404.16</v>
      </c>
      <c r="D186" s="39">
        <v>6787.85</v>
      </c>
      <c r="E186" s="39">
        <v>8751.4</v>
      </c>
      <c r="F186" s="39">
        <v>10719.86</v>
      </c>
      <c r="G186" s="39">
        <v>7916.59</v>
      </c>
      <c r="H186" s="39">
        <v>10655.5</v>
      </c>
      <c r="I186" s="39">
        <v>9353.3799999999992</v>
      </c>
      <c r="J186" s="39">
        <v>8799.83</v>
      </c>
      <c r="K186" s="39">
        <v>10532.3</v>
      </c>
      <c r="L186"/>
      <c r="M186"/>
      <c r="N186" s="40" t="s">
        <v>58</v>
      </c>
      <c r="O186" s="40">
        <v>-911.54</v>
      </c>
      <c r="P186" s="40">
        <v>-470.53</v>
      </c>
      <c r="Q186" s="40">
        <v>-310.17</v>
      </c>
      <c r="R186" s="40">
        <v>-306.88</v>
      </c>
      <c r="S186" s="40">
        <v>-491.44</v>
      </c>
      <c r="T186" s="41">
        <v>2040.18</v>
      </c>
      <c r="U186" s="40">
        <v>435.18</v>
      </c>
      <c r="V186" s="41">
        <v>-2151.3000000000002</v>
      </c>
      <c r="W186" s="41">
        <v>1617.46</v>
      </c>
      <c r="X186" s="40">
        <v>-353.52</v>
      </c>
      <c r="Y186"/>
      <c r="Z186"/>
      <c r="AA186" t="s">
        <v>97</v>
      </c>
      <c r="AB186">
        <v>861.78</v>
      </c>
      <c r="AC186" s="1">
        <v>-1111.1099999999999</v>
      </c>
      <c r="AD186">
        <v>-869.68</v>
      </c>
      <c r="AE186" s="1">
        <v>-1346.56</v>
      </c>
      <c r="AF186" s="1">
        <v>-1366.33</v>
      </c>
      <c r="AG186" s="1">
        <v>-3506.9</v>
      </c>
      <c r="AH186" s="1">
        <v>-9406.6299999999992</v>
      </c>
      <c r="AI186" s="1">
        <v>-3778.47</v>
      </c>
      <c r="AJ186" s="1">
        <v>-5080.8</v>
      </c>
      <c r="AK186" s="1">
        <v>-7314.51</v>
      </c>
    </row>
    <row r="187" spans="1:37" x14ac:dyDescent="0.35">
      <c r="A187" s="38" t="s">
        <v>26</v>
      </c>
      <c r="B187" s="38">
        <v>38.47</v>
      </c>
      <c r="C187" s="38">
        <v>38.549999999999997</v>
      </c>
      <c r="D187" s="38">
        <v>31.36</v>
      </c>
      <c r="E187" s="38">
        <v>43.67</v>
      </c>
      <c r="F187" s="38">
        <v>48.68</v>
      </c>
      <c r="G187" s="38">
        <v>60.73</v>
      </c>
      <c r="H187" s="38">
        <v>188.55</v>
      </c>
      <c r="I187" s="38">
        <v>139.01</v>
      </c>
      <c r="J187" s="38">
        <v>58.9</v>
      </c>
      <c r="K187" s="38">
        <v>80.78</v>
      </c>
      <c r="L187"/>
      <c r="M187"/>
      <c r="N187" s="40" t="s">
        <v>59</v>
      </c>
      <c r="O187" s="41">
        <v>-1418.53</v>
      </c>
      <c r="P187" s="40">
        <v>-986.45</v>
      </c>
      <c r="Q187" s="40">
        <v>-361.61</v>
      </c>
      <c r="R187" s="40">
        <v>-262.89999999999998</v>
      </c>
      <c r="S187" s="40">
        <v>617.66999999999996</v>
      </c>
      <c r="T187" s="41">
        <v>7154.31</v>
      </c>
      <c r="U187" s="41">
        <v>8283.42</v>
      </c>
      <c r="V187" s="41">
        <v>2426.83</v>
      </c>
      <c r="W187" s="41">
        <v>5273.3</v>
      </c>
      <c r="X187" s="41">
        <v>3621.18</v>
      </c>
      <c r="Y187"/>
      <c r="Z187"/>
      <c r="AA187" t="s">
        <v>98</v>
      </c>
      <c r="AB187">
        <v>-3073.52</v>
      </c>
      <c r="AC187">
        <v>-1781.77</v>
      </c>
      <c r="AD187">
        <v>-1918.7</v>
      </c>
      <c r="AE187">
        <v>-716.37</v>
      </c>
      <c r="AF187">
        <v>-665.11</v>
      </c>
      <c r="AG187">
        <v>-763.28</v>
      </c>
      <c r="AH187">
        <v>-1314.43</v>
      </c>
      <c r="AI187">
        <v>-2473.9299999999998</v>
      </c>
      <c r="AJ187">
        <v>-3531.69</v>
      </c>
      <c r="AK187">
        <v>-4233.21</v>
      </c>
    </row>
    <row r="188" spans="1:37" x14ac:dyDescent="0.35">
      <c r="A188" s="38" t="s">
        <v>27</v>
      </c>
      <c r="B188" s="39">
        <v>7017.97</v>
      </c>
      <c r="C188" s="39">
        <v>5442.71</v>
      </c>
      <c r="D188" s="39">
        <v>6819.21</v>
      </c>
      <c r="E188" s="39">
        <v>8795.07</v>
      </c>
      <c r="F188" s="39">
        <v>10768.54</v>
      </c>
      <c r="G188" s="39">
        <v>7977.32</v>
      </c>
      <c r="H188" s="39">
        <v>10844.05</v>
      </c>
      <c r="I188" s="39">
        <v>9492.39</v>
      </c>
      <c r="J188" s="39">
        <v>8858.73</v>
      </c>
      <c r="K188" s="39">
        <v>10613.08</v>
      </c>
      <c r="L188"/>
      <c r="M188"/>
      <c r="N188" s="40" t="s">
        <v>60</v>
      </c>
      <c r="O188" s="40">
        <v>23.47</v>
      </c>
      <c r="P188" s="40">
        <v>0.85</v>
      </c>
      <c r="Q188" s="40">
        <v>-344.98</v>
      </c>
      <c r="R188" s="41">
        <v>-1398.92</v>
      </c>
      <c r="S188" s="40">
        <v>-0.91</v>
      </c>
      <c r="T188" s="40">
        <v>-141.1</v>
      </c>
      <c r="U188" s="40">
        <v>-247.42</v>
      </c>
      <c r="V188" s="40">
        <v>-309.52999999999997</v>
      </c>
      <c r="W188" s="40">
        <v>28.59</v>
      </c>
      <c r="X188" s="40">
        <v>-842.31</v>
      </c>
      <c r="Y188"/>
      <c r="Z188"/>
      <c r="AA188" t="s">
        <v>99</v>
      </c>
      <c r="AB188">
        <v>2757.55</v>
      </c>
      <c r="AC188">
        <v>306.55</v>
      </c>
      <c r="AD188">
        <v>969.7</v>
      </c>
      <c r="AE188">
        <v>12.48</v>
      </c>
      <c r="AF188">
        <v>4.59</v>
      </c>
      <c r="AG188">
        <v>6.79</v>
      </c>
      <c r="AH188">
        <v>33.71</v>
      </c>
      <c r="AI188">
        <v>46.38</v>
      </c>
      <c r="AJ188">
        <v>88.93</v>
      </c>
      <c r="AK188">
        <v>68.44</v>
      </c>
    </row>
    <row r="189" spans="1:37" x14ac:dyDescent="0.35">
      <c r="A189" s="38" t="s">
        <v>28</v>
      </c>
      <c r="B189" s="39">
        <v>2427.4</v>
      </c>
      <c r="C189" s="39">
        <v>3389.52</v>
      </c>
      <c r="D189" s="39">
        <v>2892.65</v>
      </c>
      <c r="E189" s="38">
        <v>626.71</v>
      </c>
      <c r="F189" s="38">
        <v>742.97</v>
      </c>
      <c r="G189" s="39">
        <v>7466.41</v>
      </c>
      <c r="H189" s="39">
        <v>6609.71</v>
      </c>
      <c r="I189" s="39">
        <v>3230.31</v>
      </c>
      <c r="J189" s="39">
        <v>5422.93</v>
      </c>
      <c r="K189" s="39">
        <v>1284.3800000000001</v>
      </c>
      <c r="L189"/>
      <c r="M189"/>
      <c r="N189" s="40" t="s">
        <v>61</v>
      </c>
      <c r="O189" s="41">
        <v>-1442</v>
      </c>
      <c r="P189" s="40">
        <v>-987.3</v>
      </c>
      <c r="Q189" s="40">
        <v>-16.63</v>
      </c>
      <c r="R189" s="41">
        <v>1136.02</v>
      </c>
      <c r="S189" s="40">
        <v>618.58000000000004</v>
      </c>
      <c r="T189" s="41">
        <v>7295.41</v>
      </c>
      <c r="U189" s="41">
        <v>8530.84</v>
      </c>
      <c r="V189" s="41">
        <v>2736.36</v>
      </c>
      <c r="W189" s="41">
        <v>5244.71</v>
      </c>
      <c r="X189" s="41">
        <v>4463.49</v>
      </c>
      <c r="Y189"/>
      <c r="Z189"/>
      <c r="AA189" t="s">
        <v>100</v>
      </c>
      <c r="AB189">
        <v>-18.88</v>
      </c>
      <c r="AC189">
        <v>-1.47</v>
      </c>
      <c r="AD189">
        <v>0</v>
      </c>
      <c r="AE189">
        <v>0</v>
      </c>
      <c r="AF189">
        <v>0</v>
      </c>
      <c r="AG189">
        <v>-996.26</v>
      </c>
      <c r="AH189">
        <v>-1323.65</v>
      </c>
      <c r="AI189">
        <v>-3842.07</v>
      </c>
      <c r="AJ189">
        <v>-1690.2</v>
      </c>
      <c r="AK189">
        <v>-2388.8000000000002</v>
      </c>
    </row>
    <row r="190" spans="1:37" x14ac:dyDescent="0.35">
      <c r="A190" s="38" t="s">
        <v>29</v>
      </c>
      <c r="B190" s="39">
        <v>4623.01</v>
      </c>
      <c r="C190" s="39">
        <v>5245.3</v>
      </c>
      <c r="D190" s="39">
        <v>5886.07</v>
      </c>
      <c r="E190" s="39">
        <v>5973.15</v>
      </c>
      <c r="F190" s="39">
        <v>2688.86</v>
      </c>
      <c r="G190" s="38">
        <v>810.1</v>
      </c>
      <c r="H190" s="38">
        <v>408.31</v>
      </c>
      <c r="I190" s="39">
        <v>2347.6999999999998</v>
      </c>
      <c r="J190" s="38">
        <v>638.03</v>
      </c>
      <c r="K190" s="38">
        <v>942.72</v>
      </c>
      <c r="L190"/>
      <c r="M190"/>
      <c r="N190" s="40" t="s">
        <v>62</v>
      </c>
      <c r="O190" s="40">
        <v>-237.54</v>
      </c>
      <c r="P190" s="40">
        <v>-163.1</v>
      </c>
      <c r="Q190" s="40">
        <v>-198.41</v>
      </c>
      <c r="R190" s="40">
        <v>-215.14</v>
      </c>
      <c r="S190" s="41">
        <v>1007.81</v>
      </c>
      <c r="T190" s="40">
        <v>542.82000000000005</v>
      </c>
      <c r="U190" s="40">
        <v>-494.31</v>
      </c>
      <c r="V190" s="40">
        <v>-389.72</v>
      </c>
      <c r="W190" s="40">
        <v>-160.49</v>
      </c>
      <c r="X190" s="40">
        <v>872.11</v>
      </c>
      <c r="Y190"/>
      <c r="Z190"/>
      <c r="AA190" t="s">
        <v>101</v>
      </c>
      <c r="AB190">
        <v>1039.6300000000001</v>
      </c>
      <c r="AC190">
        <v>373</v>
      </c>
      <c r="AD190">
        <v>259.52999999999997</v>
      </c>
      <c r="AE190">
        <v>0</v>
      </c>
      <c r="AF190">
        <v>0</v>
      </c>
      <c r="AG190">
        <v>0</v>
      </c>
      <c r="AH190">
        <v>706.66</v>
      </c>
      <c r="AI190">
        <v>0</v>
      </c>
      <c r="AJ190">
        <v>203.26</v>
      </c>
      <c r="AK190">
        <v>0</v>
      </c>
    </row>
    <row r="191" spans="1:37" x14ac:dyDescent="0.35">
      <c r="A191" s="38" t="s">
        <v>30</v>
      </c>
      <c r="B191" s="39">
        <v>9075.74</v>
      </c>
      <c r="C191" s="39">
        <v>9228.93</v>
      </c>
      <c r="D191" s="39">
        <v>9559.52</v>
      </c>
      <c r="E191" s="39">
        <v>9339.6200000000008</v>
      </c>
      <c r="F191" s="39">
        <v>6359.21</v>
      </c>
      <c r="G191" s="39">
        <v>7048.11</v>
      </c>
      <c r="H191" s="39">
        <v>7091.37</v>
      </c>
      <c r="I191" s="39">
        <v>6332.82</v>
      </c>
      <c r="J191" s="39">
        <v>6249.09</v>
      </c>
      <c r="K191" s="39">
        <v>6192.66</v>
      </c>
      <c r="L191"/>
      <c r="M191"/>
      <c r="N191" s="40" t="s">
        <v>63</v>
      </c>
      <c r="O191" s="41">
        <v>21768.51</v>
      </c>
      <c r="P191" s="41">
        <v>20112.439999999999</v>
      </c>
      <c r="Q191" s="41">
        <v>18962.89</v>
      </c>
      <c r="R191" s="41">
        <v>18402.87</v>
      </c>
      <c r="S191" s="41">
        <v>17924.830000000002</v>
      </c>
      <c r="T191" s="41">
        <v>19550.310000000001</v>
      </c>
      <c r="U191" s="41">
        <v>27247.439999999999</v>
      </c>
      <c r="V191" s="41">
        <v>34934.54</v>
      </c>
      <c r="W191" s="41">
        <v>36971.65</v>
      </c>
      <c r="X191" s="41">
        <v>41883.449999999997</v>
      </c>
      <c r="Y191"/>
      <c r="Z191"/>
      <c r="AA191" t="s">
        <v>102</v>
      </c>
      <c r="AB191">
        <v>200.97</v>
      </c>
      <c r="AC191">
        <v>8.91</v>
      </c>
      <c r="AD191">
        <v>87.93</v>
      </c>
      <c r="AE191">
        <v>25.64</v>
      </c>
      <c r="AF191">
        <v>25.19</v>
      </c>
      <c r="AG191">
        <v>52.59</v>
      </c>
      <c r="AH191">
        <v>112.31</v>
      </c>
      <c r="AI191">
        <v>77.59</v>
      </c>
      <c r="AJ191">
        <v>212.6</v>
      </c>
      <c r="AK191">
        <v>173.93</v>
      </c>
    </row>
    <row r="192" spans="1:37" x14ac:dyDescent="0.35">
      <c r="A192" s="38" t="s">
        <v>31</v>
      </c>
      <c r="B192" s="39">
        <v>-4452.7299999999996</v>
      </c>
      <c r="C192" s="39">
        <v>-3983.63</v>
      </c>
      <c r="D192" s="39">
        <v>-3673.45</v>
      </c>
      <c r="E192" s="39">
        <v>-3366.47</v>
      </c>
      <c r="F192" s="39">
        <v>-3670.35</v>
      </c>
      <c r="G192" s="39">
        <v>-6238.01</v>
      </c>
      <c r="H192" s="39">
        <v>-6683.06</v>
      </c>
      <c r="I192" s="39">
        <v>-3985.12</v>
      </c>
      <c r="J192" s="39">
        <v>-5611.06</v>
      </c>
      <c r="K192" s="39">
        <v>-5249.94</v>
      </c>
      <c r="L192"/>
      <c r="M192"/>
      <c r="N192" s="40" t="s">
        <v>65</v>
      </c>
      <c r="O192" s="41">
        <v>20112.439999999999</v>
      </c>
      <c r="P192" s="41">
        <v>18962.89</v>
      </c>
      <c r="Q192" s="41">
        <v>18402.87</v>
      </c>
      <c r="R192" s="41">
        <v>17924.830000000002</v>
      </c>
      <c r="S192" s="41">
        <v>19550.310000000001</v>
      </c>
      <c r="T192" s="41">
        <v>27247.439999999999</v>
      </c>
      <c r="U192" s="41">
        <v>34934.54</v>
      </c>
      <c r="V192" s="41">
        <v>36971.65</v>
      </c>
      <c r="W192" s="41">
        <v>41883.449999999997</v>
      </c>
      <c r="X192" s="41">
        <v>46174.38</v>
      </c>
      <c r="Y192"/>
      <c r="Z192"/>
      <c r="AA192" t="s">
        <v>86</v>
      </c>
      <c r="AB192">
        <v>5.87</v>
      </c>
      <c r="AC192">
        <v>-16.329999999999998</v>
      </c>
      <c r="AD192">
        <v>-268.14</v>
      </c>
      <c r="AE192">
        <v>-668.31</v>
      </c>
      <c r="AF192">
        <v>-731</v>
      </c>
      <c r="AG192">
        <v>-1806.74</v>
      </c>
      <c r="AH192">
        <v>-7621.23</v>
      </c>
      <c r="AI192">
        <v>-591.49</v>
      </c>
      <c r="AJ192">
        <v>-363.79</v>
      </c>
      <c r="AK192">
        <v>-935.22</v>
      </c>
    </row>
    <row r="193" spans="1:37" x14ac:dyDescent="0.35">
      <c r="A193" s="38" t="s">
        <v>32</v>
      </c>
      <c r="B193" s="38">
        <v>965.39</v>
      </c>
      <c r="C193" s="38">
        <v>771.26</v>
      </c>
      <c r="D193" s="38">
        <v>548.66</v>
      </c>
      <c r="E193" s="38">
        <v>570.70000000000005</v>
      </c>
      <c r="F193" s="38">
        <v>341.09</v>
      </c>
      <c r="G193" s="39">
        <v>4804.34</v>
      </c>
      <c r="H193" s="39">
        <v>9274.67</v>
      </c>
      <c r="I193" s="39">
        <v>6412.03</v>
      </c>
      <c r="J193" s="39">
        <v>6929.2</v>
      </c>
      <c r="K193" s="39">
        <v>6410.11</v>
      </c>
      <c r="L193"/>
      <c r="M193"/>
      <c r="N193" s="40" t="s">
        <v>66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102.01</v>
      </c>
      <c r="V193" s="40">
        <v>0</v>
      </c>
      <c r="W193" s="40">
        <v>0</v>
      </c>
      <c r="X193" s="40">
        <v>0</v>
      </c>
      <c r="Y193"/>
      <c r="Z193"/>
      <c r="AA193" t="s">
        <v>105</v>
      </c>
      <c r="AB193" s="1">
        <v>-5230.6000000000004</v>
      </c>
      <c r="AC193" s="1">
        <v>-3137.55</v>
      </c>
      <c r="AD193" s="1">
        <v>-4027.22</v>
      </c>
      <c r="AE193" s="1">
        <v>-5675.58</v>
      </c>
      <c r="AF193" s="1">
        <v>-5380.22</v>
      </c>
      <c r="AG193" s="1">
        <v>-1081.8399999999999</v>
      </c>
      <c r="AH193" s="1">
        <v>-7427.72</v>
      </c>
      <c r="AI193" s="1">
        <v>-1849.79</v>
      </c>
      <c r="AJ193" s="1">
        <v>-2543.9</v>
      </c>
      <c r="AK193" s="1">
        <v>-4733.68</v>
      </c>
    </row>
    <row r="194" spans="1:37" x14ac:dyDescent="0.35">
      <c r="A194" s="38" t="s">
        <v>33</v>
      </c>
      <c r="B194" s="39">
        <v>49126.05</v>
      </c>
      <c r="C194" s="39">
        <v>50667.51</v>
      </c>
      <c r="D194" s="39">
        <v>49583.94</v>
      </c>
      <c r="E194" s="39">
        <v>45510.7</v>
      </c>
      <c r="F194" s="39">
        <v>44435.96</v>
      </c>
      <c r="G194" s="39">
        <v>54915.95</v>
      </c>
      <c r="H194" s="39">
        <v>57635.14</v>
      </c>
      <c r="I194" s="39">
        <v>53552.12</v>
      </c>
      <c r="J194" s="39">
        <v>57547.18</v>
      </c>
      <c r="K194" s="39">
        <v>57625.96</v>
      </c>
      <c r="L194"/>
      <c r="M194"/>
      <c r="N194" s="40" t="s">
        <v>67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300</v>
      </c>
      <c r="V194" s="40">
        <v>200</v>
      </c>
      <c r="W194" s="40">
        <v>200</v>
      </c>
      <c r="X194" s="40">
        <v>200</v>
      </c>
      <c r="Y194"/>
      <c r="Z194"/>
      <c r="AA194" t="s">
        <v>106</v>
      </c>
      <c r="AB194">
        <v>0</v>
      </c>
      <c r="AC194">
        <v>0.01</v>
      </c>
      <c r="AD194">
        <v>1219.92</v>
      </c>
      <c r="AE194">
        <v>0</v>
      </c>
      <c r="AF194">
        <v>7.73</v>
      </c>
      <c r="AG194">
        <v>0</v>
      </c>
      <c r="AH194">
        <v>1.76</v>
      </c>
      <c r="AI194">
        <v>0</v>
      </c>
      <c r="AJ194">
        <v>0</v>
      </c>
      <c r="AK194">
        <v>873.03</v>
      </c>
    </row>
    <row r="195" spans="1:37" x14ac:dyDescent="0.35">
      <c r="A195" s="38" t="s">
        <v>34</v>
      </c>
      <c r="B195" s="39">
        <v>12546.94</v>
      </c>
      <c r="C195" s="39">
        <v>11059.92</v>
      </c>
      <c r="D195" s="39">
        <v>11634.99</v>
      </c>
      <c r="E195" s="39">
        <v>11009.76</v>
      </c>
      <c r="F195" s="39">
        <v>12480.23</v>
      </c>
      <c r="G195" s="39">
        <v>13112.94</v>
      </c>
      <c r="H195" s="39">
        <v>8225.83</v>
      </c>
      <c r="I195" s="39">
        <v>9529.18</v>
      </c>
      <c r="J195" s="39">
        <v>13833.87</v>
      </c>
      <c r="K195" s="39">
        <v>19236.96</v>
      </c>
      <c r="L195"/>
      <c r="M195"/>
      <c r="N195" s="40" t="s">
        <v>68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0">
        <v>0</v>
      </c>
      <c r="U195" s="40">
        <v>3</v>
      </c>
      <c r="V195" s="40">
        <v>2</v>
      </c>
      <c r="W195" s="40">
        <v>2</v>
      </c>
      <c r="X195" s="40">
        <v>2</v>
      </c>
      <c r="Y195"/>
      <c r="Z195"/>
      <c r="AA195" t="s">
        <v>107</v>
      </c>
      <c r="AB195">
        <v>9950.16</v>
      </c>
      <c r="AC195">
        <v>1081.44</v>
      </c>
      <c r="AD195">
        <v>598.04</v>
      </c>
      <c r="AE195">
        <v>1408.36</v>
      </c>
      <c r="AF195">
        <v>1098.78</v>
      </c>
      <c r="AG195">
        <v>2970.61</v>
      </c>
      <c r="AH195">
        <v>0</v>
      </c>
      <c r="AI195">
        <v>6689.72</v>
      </c>
      <c r="AJ195">
        <v>3081.35</v>
      </c>
      <c r="AK195">
        <v>2613</v>
      </c>
    </row>
    <row r="196" spans="1:37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 s="40" t="s">
        <v>69</v>
      </c>
      <c r="O196" s="40">
        <v>0</v>
      </c>
      <c r="P196" s="40">
        <v>0</v>
      </c>
      <c r="Q196" s="40">
        <v>0</v>
      </c>
      <c r="R196" s="40">
        <v>-2.72</v>
      </c>
      <c r="S196" s="40">
        <v>6.06</v>
      </c>
      <c r="T196" s="40">
        <v>70.14</v>
      </c>
      <c r="U196" s="40">
        <v>81.96</v>
      </c>
      <c r="V196" s="40">
        <v>24.15</v>
      </c>
      <c r="W196" s="40">
        <v>52.61</v>
      </c>
      <c r="X196" s="40">
        <v>35.79</v>
      </c>
      <c r="Y196"/>
      <c r="Z196"/>
      <c r="AA196" t="s">
        <v>111</v>
      </c>
      <c r="AB196">
        <v>-13790.25</v>
      </c>
      <c r="AC196">
        <v>-1958.79</v>
      </c>
      <c r="AD196">
        <v>-1912.26</v>
      </c>
      <c r="AE196">
        <v>-4347.6000000000004</v>
      </c>
      <c r="AF196">
        <v>-3964.12</v>
      </c>
      <c r="AG196">
        <v>-2151.2399999999998</v>
      </c>
      <c r="AH196">
        <v>-5575.69</v>
      </c>
      <c r="AI196">
        <v>-6607.88</v>
      </c>
      <c r="AJ196">
        <v>-4983.72</v>
      </c>
      <c r="AK196">
        <v>-6815.42</v>
      </c>
    </row>
    <row r="197" spans="1:37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 s="40" t="s">
        <v>70</v>
      </c>
      <c r="O197" s="40">
        <v>0</v>
      </c>
      <c r="P197" s="40">
        <v>0</v>
      </c>
      <c r="Q197" s="40">
        <v>0</v>
      </c>
      <c r="R197" s="40">
        <v>-2.72</v>
      </c>
      <c r="S197" s="40">
        <v>6.06</v>
      </c>
      <c r="T197" s="40">
        <v>70.14</v>
      </c>
      <c r="U197" s="40">
        <v>81.96</v>
      </c>
      <c r="V197" s="40">
        <v>24.15</v>
      </c>
      <c r="W197" s="40">
        <v>52.61</v>
      </c>
      <c r="X197" s="40">
        <v>35.79</v>
      </c>
      <c r="Y197"/>
      <c r="Z197"/>
      <c r="AA197" t="s">
        <v>112</v>
      </c>
      <c r="AB197">
        <v>-53.63</v>
      </c>
      <c r="AC197">
        <v>-165.83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 s="40" t="s">
        <v>71</v>
      </c>
      <c r="O198" s="40">
        <v>252.11</v>
      </c>
      <c r="P198" s="40">
        <v>237.88</v>
      </c>
      <c r="Q198" s="40">
        <v>235.44</v>
      </c>
      <c r="R198" s="40">
        <v>232.91</v>
      </c>
      <c r="S198" s="40">
        <v>232.44</v>
      </c>
      <c r="T198" s="40">
        <v>320.02</v>
      </c>
      <c r="U198" s="40">
        <v>399.33</v>
      </c>
      <c r="V198" s="40">
        <v>403.55</v>
      </c>
      <c r="W198" s="40">
        <v>453.85</v>
      </c>
      <c r="X198" s="40">
        <v>491.83</v>
      </c>
      <c r="Y198"/>
      <c r="Z198"/>
      <c r="AA198" t="s">
        <v>115</v>
      </c>
      <c r="AB198">
        <v>-2656.02</v>
      </c>
      <c r="AC198">
        <v>-2516.1999999999998</v>
      </c>
      <c r="AD198">
        <v>-3250.11</v>
      </c>
      <c r="AE198">
        <v>-2736.34</v>
      </c>
      <c r="AF198">
        <v>-2844.79</v>
      </c>
      <c r="AG198">
        <v>-1828.66</v>
      </c>
      <c r="AH198">
        <v>-1724.03</v>
      </c>
      <c r="AI198">
        <v>-1466.82</v>
      </c>
      <c r="AJ198">
        <v>-1357.08</v>
      </c>
      <c r="AK198">
        <v>-1133.9000000000001</v>
      </c>
    </row>
    <row r="199" spans="1:37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 s="40" t="s">
        <v>72</v>
      </c>
      <c r="O199" s="40">
        <v>252.11</v>
      </c>
      <c r="P199" s="40">
        <v>237.88</v>
      </c>
      <c r="Q199" s="40">
        <v>235.44</v>
      </c>
      <c r="R199" s="40">
        <v>232.91</v>
      </c>
      <c r="S199" s="40">
        <v>232.44</v>
      </c>
      <c r="T199" s="40">
        <v>320.02</v>
      </c>
      <c r="U199" s="40">
        <v>399.33</v>
      </c>
      <c r="V199" s="40">
        <v>403.55</v>
      </c>
      <c r="W199" s="40">
        <v>453.85</v>
      </c>
      <c r="X199" s="40">
        <v>491.83</v>
      </c>
      <c r="Y199"/>
      <c r="Z199"/>
      <c r="AA199" t="s">
        <v>86</v>
      </c>
      <c r="AB199">
        <v>0</v>
      </c>
      <c r="AC199">
        <v>0</v>
      </c>
      <c r="AD199">
        <v>-682.81</v>
      </c>
      <c r="AE199">
        <v>0</v>
      </c>
      <c r="AF199">
        <v>505.12</v>
      </c>
      <c r="AG199">
        <v>0</v>
      </c>
      <c r="AH199">
        <v>-498.34</v>
      </c>
      <c r="AI199">
        <v>-189.31</v>
      </c>
      <c r="AJ199">
        <v>-160.75</v>
      </c>
      <c r="AK199">
        <v>0</v>
      </c>
    </row>
    <row r="200" spans="1:37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 s="60" t="s">
        <v>127</v>
      </c>
      <c r="O200" s="1">
        <f>O184+O181</f>
        <v>316.40999999999985</v>
      </c>
      <c r="P200" s="1">
        <f t="shared" ref="P200:X200" si="3">P184+P181</f>
        <v>867</v>
      </c>
      <c r="Q200" s="1">
        <f t="shared" si="3"/>
        <v>1719.3700000000001</v>
      </c>
      <c r="R200" s="1">
        <f t="shared" si="3"/>
        <v>2325.9800000000005</v>
      </c>
      <c r="S200" s="1">
        <f t="shared" si="3"/>
        <v>3490.23</v>
      </c>
      <c r="T200" s="1">
        <f t="shared" si="3"/>
        <v>11305.759999999998</v>
      </c>
      <c r="U200" s="1">
        <f t="shared" si="3"/>
        <v>12582.869999999999</v>
      </c>
      <c r="V200" s="1">
        <f t="shared" si="3"/>
        <v>4157.8500000000004</v>
      </c>
      <c r="W200" s="1">
        <f t="shared" si="3"/>
        <v>8071.49</v>
      </c>
      <c r="X200" s="1">
        <f t="shared" si="3"/>
        <v>5467.1</v>
      </c>
      <c r="Y200"/>
      <c r="Z200"/>
      <c r="AA200" t="s">
        <v>116</v>
      </c>
      <c r="AB200">
        <v>52.69</v>
      </c>
      <c r="AC200">
        <v>-184.77</v>
      </c>
      <c r="AD200">
        <v>-36.71</v>
      </c>
      <c r="AE200">
        <v>-34.630000000000003</v>
      </c>
      <c r="AF200">
        <v>314.43</v>
      </c>
      <c r="AG200" s="1">
        <v>5171.38</v>
      </c>
      <c r="AH200" s="1">
        <v>-2649.08</v>
      </c>
      <c r="AI200">
        <v>722.77</v>
      </c>
      <c r="AJ200">
        <v>-715.63</v>
      </c>
      <c r="AK200">
        <v>-837.41</v>
      </c>
    </row>
    <row r="201" spans="1:37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 t="s">
        <v>117</v>
      </c>
      <c r="AB201">
        <v>322.68</v>
      </c>
      <c r="AC201">
        <v>137.91</v>
      </c>
      <c r="AD201">
        <v>101.19</v>
      </c>
      <c r="AE201">
        <v>66.56</v>
      </c>
      <c r="AF201">
        <v>380.99</v>
      </c>
      <c r="AG201" s="1">
        <v>5552.37</v>
      </c>
      <c r="AH201" s="1">
        <v>2903.29</v>
      </c>
      <c r="AI201" s="1">
        <v>3626.06</v>
      </c>
      <c r="AJ201" s="1">
        <v>2910.43</v>
      </c>
      <c r="AK201" s="1">
        <v>2073.02</v>
      </c>
    </row>
  </sheetData>
  <mergeCells count="4">
    <mergeCell ref="A114:AI114"/>
    <mergeCell ref="A160:AI160"/>
    <mergeCell ref="A1:AK2"/>
    <mergeCell ref="A62:AI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9C64-F287-4DA7-B2D6-250EE01F7CBA}">
  <dimension ref="A1:I27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6.08984375" bestFit="1" customWidth="1"/>
    <col min="3" max="3" width="19.90625" bestFit="1" customWidth="1"/>
    <col min="4" max="4" width="21" bestFit="1" customWidth="1"/>
    <col min="5" max="5" width="22.36328125" bestFit="1" customWidth="1"/>
    <col min="6" max="6" width="12" bestFit="1" customWidth="1"/>
    <col min="7" max="7" width="12.453125" bestFit="1" customWidth="1"/>
    <col min="8" max="8" width="22.36328125" bestFit="1" customWidth="1"/>
    <col min="9" max="9" width="19.1796875" bestFit="1" customWidth="1"/>
    <col min="10" max="11" width="12" bestFit="1" customWidth="1"/>
    <col min="12" max="12" width="21" bestFit="1" customWidth="1"/>
    <col min="13" max="13" width="11" bestFit="1" customWidth="1"/>
    <col min="14" max="16" width="12" bestFit="1" customWidth="1"/>
    <col min="17" max="17" width="22.36328125" bestFit="1" customWidth="1"/>
    <col min="18" max="21" width="12" bestFit="1" customWidth="1"/>
    <col min="22" max="22" width="26" bestFit="1" customWidth="1"/>
    <col min="23" max="23" width="23.81640625" bestFit="1" customWidth="1"/>
    <col min="24" max="24" width="25.6328125" bestFit="1" customWidth="1"/>
    <col min="25" max="25" width="26.90625" bestFit="1" customWidth="1"/>
  </cols>
  <sheetData>
    <row r="1" spans="1:9" x14ac:dyDescent="0.35">
      <c r="G1" s="64" t="s">
        <v>1</v>
      </c>
      <c r="H1" t="s">
        <v>151</v>
      </c>
    </row>
    <row r="3" spans="1:9" x14ac:dyDescent="0.35">
      <c r="A3" s="64" t="s">
        <v>142</v>
      </c>
      <c r="B3" t="s">
        <v>145</v>
      </c>
      <c r="C3" t="s">
        <v>146</v>
      </c>
      <c r="G3" s="64" t="s">
        <v>142</v>
      </c>
      <c r="H3" t="s">
        <v>154</v>
      </c>
    </row>
    <row r="4" spans="1:9" x14ac:dyDescent="0.35">
      <c r="A4" s="65" t="s">
        <v>141</v>
      </c>
      <c r="B4">
        <v>0.13027745126871157</v>
      </c>
      <c r="C4">
        <v>0.34635506099329966</v>
      </c>
      <c r="G4" s="65" t="s">
        <v>141</v>
      </c>
      <c r="H4">
        <v>1.682365202494569</v>
      </c>
    </row>
    <row r="5" spans="1:9" x14ac:dyDescent="0.35">
      <c r="A5" s="65" t="s">
        <v>122</v>
      </c>
      <c r="B5">
        <v>8.2059855884394642E-2</v>
      </c>
      <c r="C5">
        <v>0.25961640802946118</v>
      </c>
      <c r="G5" s="65" t="s">
        <v>122</v>
      </c>
      <c r="H5">
        <v>2.1772143815058431</v>
      </c>
    </row>
    <row r="6" spans="1:9" x14ac:dyDescent="0.35">
      <c r="A6" s="65" t="s">
        <v>123</v>
      </c>
      <c r="B6">
        <v>0.22292669849876584</v>
      </c>
      <c r="C6">
        <v>4.4066509638096801E-2</v>
      </c>
      <c r="G6" s="65" t="s">
        <v>123</v>
      </c>
      <c r="H6">
        <v>0.49783314079611629</v>
      </c>
    </row>
    <row r="7" spans="1:9" x14ac:dyDescent="0.35">
      <c r="A7" s="65" t="s">
        <v>140</v>
      </c>
      <c r="B7">
        <v>0.16142901839253213</v>
      </c>
      <c r="C7">
        <v>3.0064047825962718E-2</v>
      </c>
      <c r="G7" s="65" t="s">
        <v>140</v>
      </c>
      <c r="H7">
        <v>1.5066641718789662</v>
      </c>
    </row>
    <row r="8" spans="1:9" x14ac:dyDescent="0.35">
      <c r="A8" s="65" t="s">
        <v>144</v>
      </c>
      <c r="B8">
        <v>0.14917325601110104</v>
      </c>
      <c r="C8">
        <v>0.1700255066217051</v>
      </c>
      <c r="G8" s="65" t="s">
        <v>143</v>
      </c>
      <c r="H8">
        <v>20.763129556590922</v>
      </c>
    </row>
    <row r="9" spans="1:9" x14ac:dyDescent="0.35">
      <c r="G9" s="65" t="s">
        <v>144</v>
      </c>
      <c r="H9">
        <v>26.627206453266417</v>
      </c>
    </row>
    <row r="10" spans="1:9" x14ac:dyDescent="0.35">
      <c r="A10" s="64" t="s">
        <v>1</v>
      </c>
      <c r="B10" t="s">
        <v>151</v>
      </c>
    </row>
    <row r="12" spans="1:9" x14ac:dyDescent="0.35">
      <c r="A12" s="64" t="s">
        <v>142</v>
      </c>
      <c r="B12" t="s">
        <v>147</v>
      </c>
      <c r="C12" t="s">
        <v>148</v>
      </c>
      <c r="D12" t="s">
        <v>149</v>
      </c>
      <c r="E12" t="s">
        <v>150</v>
      </c>
    </row>
    <row r="13" spans="1:9" x14ac:dyDescent="0.35">
      <c r="A13" s="65" t="s">
        <v>141</v>
      </c>
      <c r="B13">
        <v>0.27347112218817199</v>
      </c>
      <c r="C13">
        <v>0.60722230972968694</v>
      </c>
      <c r="D13">
        <v>0.21454654939589801</v>
      </c>
      <c r="E13">
        <v>1.682365202494569</v>
      </c>
      <c r="G13" s="64" t="s">
        <v>142</v>
      </c>
      <c r="H13" t="s">
        <v>150</v>
      </c>
      <c r="I13" t="s">
        <v>148</v>
      </c>
    </row>
    <row r="14" spans="1:9" x14ac:dyDescent="0.35">
      <c r="A14" s="65" t="s">
        <v>122</v>
      </c>
      <c r="B14">
        <v>23.559043348281016</v>
      </c>
      <c r="C14">
        <v>6.5409321561610886E-3</v>
      </c>
      <c r="D14">
        <v>12.545590433482809</v>
      </c>
      <c r="E14">
        <v>2.1772143815058431</v>
      </c>
      <c r="G14" s="65" t="s">
        <v>141</v>
      </c>
      <c r="H14">
        <v>1.682365202494569</v>
      </c>
      <c r="I14">
        <v>0.60722230972968694</v>
      </c>
    </row>
    <row r="15" spans="1:9" x14ac:dyDescent="0.35">
      <c r="A15" s="65" t="s">
        <v>123</v>
      </c>
      <c r="B15">
        <v>9.9537375332838851E-2</v>
      </c>
      <c r="C15">
        <v>1.5889231100304222</v>
      </c>
      <c r="D15">
        <v>0.14030049477630016</v>
      </c>
      <c r="E15">
        <v>0.49783314079611629</v>
      </c>
      <c r="G15" s="65" t="s">
        <v>122</v>
      </c>
      <c r="H15">
        <v>2.1772143815058431</v>
      </c>
      <c r="I15">
        <v>6.5409321561610886E-3</v>
      </c>
    </row>
    <row r="16" spans="1:9" x14ac:dyDescent="0.35">
      <c r="A16" s="65" t="s">
        <v>140</v>
      </c>
      <c r="B16">
        <v>0.22119569842577674</v>
      </c>
      <c r="C16">
        <v>0.58665184317547736</v>
      </c>
      <c r="D16">
        <v>0.27517005234098618</v>
      </c>
      <c r="E16">
        <v>1.5066641718789662</v>
      </c>
      <c r="G16" s="65" t="s">
        <v>123</v>
      </c>
      <c r="H16">
        <v>0.49783314079611629</v>
      </c>
      <c r="I16">
        <v>1.5889231100304222</v>
      </c>
    </row>
    <row r="17" spans="1:9" x14ac:dyDescent="0.35">
      <c r="A17" s="65" t="s">
        <v>143</v>
      </c>
      <c r="B17">
        <v>32.160995137966466</v>
      </c>
      <c r="C17">
        <v>14.298290210082751</v>
      </c>
      <c r="D17">
        <v>17.032835034954697</v>
      </c>
      <c r="E17">
        <v>20.763129556590922</v>
      </c>
      <c r="G17" s="65" t="s">
        <v>140</v>
      </c>
      <c r="H17">
        <v>1.5066641718789662</v>
      </c>
      <c r="I17">
        <v>0.58665184317547736</v>
      </c>
    </row>
    <row r="18" spans="1:9" x14ac:dyDescent="0.35">
      <c r="A18" s="65" t="s">
        <v>144</v>
      </c>
      <c r="B18">
        <v>56.314242682194276</v>
      </c>
      <c r="C18">
        <v>17.087628405174499</v>
      </c>
      <c r="D18">
        <v>30.20844256495069</v>
      </c>
      <c r="E18">
        <v>26.627206453266417</v>
      </c>
      <c r="G18" s="65" t="s">
        <v>143</v>
      </c>
      <c r="H18">
        <v>20.763129556590922</v>
      </c>
      <c r="I18">
        <v>14.298290210082751</v>
      </c>
    </row>
    <row r="19" spans="1:9" x14ac:dyDescent="0.35">
      <c r="G19" s="65" t="s">
        <v>144</v>
      </c>
      <c r="H19">
        <v>26.627206453266417</v>
      </c>
      <c r="I19">
        <v>17.087628405174499</v>
      </c>
    </row>
    <row r="22" spans="1:9" x14ac:dyDescent="0.35">
      <c r="A22" s="64" t="s">
        <v>142</v>
      </c>
      <c r="B22" t="s">
        <v>152</v>
      </c>
      <c r="C22" t="s">
        <v>153</v>
      </c>
    </row>
    <row r="23" spans="1:9" x14ac:dyDescent="0.35">
      <c r="A23" s="65" t="s">
        <v>141</v>
      </c>
      <c r="B23">
        <v>0.63280221763065914</v>
      </c>
      <c r="C23">
        <v>1.2397726998581018</v>
      </c>
    </row>
    <row r="24" spans="1:9" x14ac:dyDescent="0.35">
      <c r="A24" s="65" t="s">
        <v>122</v>
      </c>
      <c r="B24">
        <v>0.68817645129550675</v>
      </c>
      <c r="C24">
        <v>0.77380876847915736</v>
      </c>
    </row>
    <row r="25" spans="1:9" x14ac:dyDescent="0.35">
      <c r="A25" s="65" t="s">
        <v>123</v>
      </c>
      <c r="B25">
        <v>2.5184726313110062</v>
      </c>
      <c r="C25">
        <v>0.55967483787685179</v>
      </c>
    </row>
    <row r="26" spans="1:9" x14ac:dyDescent="0.35">
      <c r="A26" s="65" t="s">
        <v>140</v>
      </c>
      <c r="B26">
        <v>8.0900389635350241</v>
      </c>
      <c r="C26">
        <v>0.1537708008236503</v>
      </c>
    </row>
    <row r="27" spans="1:9" x14ac:dyDescent="0.35">
      <c r="A27" s="65" t="s">
        <v>144</v>
      </c>
      <c r="B27">
        <v>11.929490263772196</v>
      </c>
      <c r="C27">
        <v>2.727027107037761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47FE-8E08-4BA6-9DB9-CE51DA69D4C4}">
  <dimension ref="A1:Q21"/>
  <sheetViews>
    <sheetView zoomScale="69" workbookViewId="0">
      <selection activeCell="O1" activeCellId="1" sqref="A1:A21 O1:O21"/>
    </sheetView>
  </sheetViews>
  <sheetFormatPr defaultRowHeight="14.5" x14ac:dyDescent="0.35"/>
  <cols>
    <col min="1" max="1" width="21" customWidth="1"/>
    <col min="3" max="3" width="12.08984375" customWidth="1"/>
    <col min="4" max="4" width="10.36328125" bestFit="1" customWidth="1"/>
    <col min="7" max="7" width="10.36328125" bestFit="1" customWidth="1"/>
    <col min="10" max="10" width="12.6328125" bestFit="1" customWidth="1"/>
    <col min="11" max="13" width="12" bestFit="1" customWidth="1"/>
    <col min="14" max="14" width="12.6328125" bestFit="1" customWidth="1"/>
    <col min="15" max="17" width="12" bestFit="1" customWidth="1"/>
  </cols>
  <sheetData>
    <row r="1" spans="1:17" ht="30.5" thickBot="1" x14ac:dyDescent="0.4">
      <c r="A1" s="42" t="s">
        <v>125</v>
      </c>
      <c r="B1" s="42" t="s">
        <v>1</v>
      </c>
      <c r="C1" s="43" t="s">
        <v>126</v>
      </c>
      <c r="D1" s="43" t="s">
        <v>127</v>
      </c>
      <c r="E1" s="43" t="s">
        <v>128</v>
      </c>
      <c r="F1" s="43" t="s">
        <v>129</v>
      </c>
      <c r="G1" s="43" t="s">
        <v>33</v>
      </c>
      <c r="H1" s="44" t="s">
        <v>130</v>
      </c>
      <c r="I1" s="45" t="s">
        <v>131</v>
      </c>
      <c r="J1" s="46" t="s">
        <v>132</v>
      </c>
      <c r="K1" s="45" t="s">
        <v>133</v>
      </c>
      <c r="L1" s="45" t="s">
        <v>134</v>
      </c>
      <c r="M1" s="45" t="s">
        <v>135</v>
      </c>
      <c r="N1" s="45" t="s">
        <v>136</v>
      </c>
      <c r="O1" s="45" t="s">
        <v>137</v>
      </c>
      <c r="P1" s="47" t="s">
        <v>138</v>
      </c>
      <c r="Q1" s="45" t="s">
        <v>139</v>
      </c>
    </row>
    <row r="2" spans="1:17" ht="15" thickBot="1" x14ac:dyDescent="0.4">
      <c r="A2" s="66" t="s">
        <v>122</v>
      </c>
      <c r="B2" s="48">
        <v>2021</v>
      </c>
      <c r="C2" s="61">
        <v>669</v>
      </c>
      <c r="D2" s="62">
        <v>15761</v>
      </c>
      <c r="E2" s="63">
        <v>12196</v>
      </c>
      <c r="F2" s="63">
        <v>8393</v>
      </c>
      <c r="G2" s="63">
        <v>102279</v>
      </c>
      <c r="H2" s="63">
        <v>46977</v>
      </c>
      <c r="I2" s="49">
        <f>F2/E2</f>
        <v>0.68817645129550675</v>
      </c>
      <c r="J2" s="49">
        <f>E2/D2</f>
        <v>0.77380876847915736</v>
      </c>
      <c r="K2" s="49">
        <f>D2/C2</f>
        <v>23.559043348281016</v>
      </c>
      <c r="L2" s="49">
        <f>C2/G2</f>
        <v>6.5409321561610886E-3</v>
      </c>
      <c r="M2" s="49">
        <f t="shared" ref="M2:M21" si="0">G2/H2</f>
        <v>2.1772143815058431</v>
      </c>
      <c r="N2" s="49">
        <f t="shared" ref="N2:N21" si="1">J2*K2*L2*M2</f>
        <v>0.25961640802946118</v>
      </c>
      <c r="O2" s="49">
        <f t="shared" ref="O2:O21" si="2">F2/C2</f>
        <v>12.545590433482809</v>
      </c>
      <c r="P2" s="49">
        <f>L2*O2</f>
        <v>8.2059855884394642E-2</v>
      </c>
      <c r="Q2" s="50">
        <f>G2/H2</f>
        <v>2.1772143815058431</v>
      </c>
    </row>
    <row r="3" spans="1:17" ht="15" thickBot="1" x14ac:dyDescent="0.4">
      <c r="A3" s="67"/>
      <c r="B3" s="48">
        <v>2022</v>
      </c>
      <c r="C3" s="63">
        <v>1929</v>
      </c>
      <c r="D3" s="62">
        <v>28564</v>
      </c>
      <c r="E3" s="63">
        <v>24715</v>
      </c>
      <c r="F3" s="63">
        <v>16702</v>
      </c>
      <c r="G3" s="63">
        <v>120044</v>
      </c>
      <c r="H3" s="63">
        <v>63501</v>
      </c>
      <c r="I3" s="49">
        <f t="shared" ref="I3:I21" si="3">F3/E3</f>
        <v>0.67578393688043703</v>
      </c>
      <c r="J3" s="49">
        <f t="shared" ref="J3:J21" si="4">E3/D3</f>
        <v>0.86524996499089768</v>
      </c>
      <c r="K3" s="49">
        <f t="shared" ref="K3:K21" si="5">D3/C3</f>
        <v>14.807672369103162</v>
      </c>
      <c r="L3" s="49">
        <f t="shared" ref="L3:L21" si="6">C3/G3</f>
        <v>1.6069107993735631E-2</v>
      </c>
      <c r="M3" s="49">
        <f t="shared" si="0"/>
        <v>1.8904269224106707</v>
      </c>
      <c r="N3" s="49">
        <f t="shared" si="1"/>
        <v>0.38920646918946161</v>
      </c>
      <c r="O3" s="49">
        <f t="shared" si="2"/>
        <v>8.658372213582167</v>
      </c>
      <c r="P3" s="49">
        <f t="shared" ref="P3:P21" si="7">L3*O3</f>
        <v>0.13913231815001167</v>
      </c>
      <c r="Q3" s="50">
        <f t="shared" ref="Q3:Q21" si="8">G3/H3</f>
        <v>1.8904269224106707</v>
      </c>
    </row>
    <row r="4" spans="1:17" ht="15" thickBot="1" x14ac:dyDescent="0.4">
      <c r="A4" s="67"/>
      <c r="B4" s="48">
        <v>2023</v>
      </c>
      <c r="C4" s="63">
        <v>1572</v>
      </c>
      <c r="D4" s="62">
        <v>11991</v>
      </c>
      <c r="E4" s="63">
        <v>6968</v>
      </c>
      <c r="F4" s="63">
        <v>4937</v>
      </c>
      <c r="G4" s="63">
        <v>123320</v>
      </c>
      <c r="H4" s="63">
        <v>63659</v>
      </c>
      <c r="I4" s="49">
        <f t="shared" si="3"/>
        <v>0.70852468427095294</v>
      </c>
      <c r="J4" s="49">
        <f t="shared" si="4"/>
        <v>0.58110249353681931</v>
      </c>
      <c r="K4" s="49">
        <f t="shared" si="5"/>
        <v>7.6278625954198471</v>
      </c>
      <c r="L4" s="49">
        <f t="shared" si="6"/>
        <v>1.2747324035030814E-2</v>
      </c>
      <c r="M4" s="49">
        <f t="shared" si="0"/>
        <v>1.9371966257716897</v>
      </c>
      <c r="N4" s="49">
        <f t="shared" si="1"/>
        <v>0.109458207009221</v>
      </c>
      <c r="O4" s="49">
        <f t="shared" si="2"/>
        <v>3.14058524173028</v>
      </c>
      <c r="P4" s="49">
        <f t="shared" si="7"/>
        <v>4.0034057735971455E-2</v>
      </c>
      <c r="Q4" s="50">
        <f t="shared" si="8"/>
        <v>1.9371966257716897</v>
      </c>
    </row>
    <row r="5" spans="1:17" ht="15" thickBot="1" x14ac:dyDescent="0.4">
      <c r="A5" s="67"/>
      <c r="B5" s="48">
        <v>2024</v>
      </c>
      <c r="C5" s="63">
        <v>3333</v>
      </c>
      <c r="D5" s="62">
        <v>18210</v>
      </c>
      <c r="E5" s="63">
        <v>12102</v>
      </c>
      <c r="F5" s="63">
        <v>8041</v>
      </c>
      <c r="G5" s="63">
        <v>138629</v>
      </c>
      <c r="H5" s="63">
        <v>75283</v>
      </c>
      <c r="I5" s="49">
        <f t="shared" si="3"/>
        <v>0.66443563047430176</v>
      </c>
      <c r="J5" s="49">
        <f t="shared" si="4"/>
        <v>0.66457990115321253</v>
      </c>
      <c r="K5" s="49">
        <f t="shared" si="5"/>
        <v>5.4635463546354632</v>
      </c>
      <c r="L5" s="49">
        <f t="shared" si="6"/>
        <v>2.4042588491585453E-2</v>
      </c>
      <c r="M5" s="49">
        <f t="shared" si="0"/>
        <v>1.8414383061248887</v>
      </c>
      <c r="N5" s="49">
        <f t="shared" si="1"/>
        <v>0.16075342374772522</v>
      </c>
      <c r="O5" s="49">
        <f t="shared" si="2"/>
        <v>2.4125412541254128</v>
      </c>
      <c r="P5" s="49">
        <f t="shared" si="7"/>
        <v>5.8003736591910784E-2</v>
      </c>
      <c r="Q5" s="50">
        <f t="shared" si="8"/>
        <v>1.8414383061248887</v>
      </c>
    </row>
    <row r="6" spans="1:17" ht="15" thickBot="1" x14ac:dyDescent="0.4">
      <c r="A6" s="68"/>
      <c r="B6" s="48">
        <v>2025</v>
      </c>
      <c r="C6" s="63">
        <v>4768</v>
      </c>
      <c r="D6" s="62">
        <v>13029</v>
      </c>
      <c r="E6" s="63">
        <v>6543</v>
      </c>
      <c r="F6" s="63">
        <v>5837</v>
      </c>
      <c r="G6" s="63">
        <v>150148</v>
      </c>
      <c r="H6" s="63">
        <v>79839</v>
      </c>
      <c r="I6" s="49">
        <f t="shared" si="3"/>
        <v>0.89209842579856335</v>
      </c>
      <c r="J6" s="49">
        <f t="shared" si="4"/>
        <v>0.50218742804513006</v>
      </c>
      <c r="K6" s="49">
        <f t="shared" si="5"/>
        <v>2.7325922818791946</v>
      </c>
      <c r="L6" s="49">
        <f t="shared" si="6"/>
        <v>3.1755334736393429E-2</v>
      </c>
      <c r="M6" s="49">
        <f t="shared" si="0"/>
        <v>1.8806347774896981</v>
      </c>
      <c r="N6" s="49">
        <f t="shared" si="1"/>
        <v>8.1952429263893581E-2</v>
      </c>
      <c r="O6" s="49">
        <f t="shared" si="2"/>
        <v>1.2242030201342282</v>
      </c>
      <c r="P6" s="49">
        <f t="shared" si="7"/>
        <v>3.8874976689666198E-2</v>
      </c>
      <c r="Q6" s="50">
        <f t="shared" si="8"/>
        <v>1.8806347774896981</v>
      </c>
    </row>
    <row r="7" spans="1:17" ht="15" thickBot="1" x14ac:dyDescent="0.4">
      <c r="A7" s="69" t="s">
        <v>140</v>
      </c>
      <c r="B7" s="51">
        <v>2021</v>
      </c>
      <c r="C7" s="52">
        <v>84132.92</v>
      </c>
      <c r="D7" s="53">
        <v>18609.84</v>
      </c>
      <c r="E7" s="52">
        <v>2861.65</v>
      </c>
      <c r="F7" s="52">
        <v>23150.86</v>
      </c>
      <c r="G7" s="54">
        <v>143412.01</v>
      </c>
      <c r="H7" s="55">
        <v>95185.12</v>
      </c>
      <c r="I7" s="56">
        <f t="shared" si="3"/>
        <v>8.0900389635350241</v>
      </c>
      <c r="J7" s="56">
        <f t="shared" si="4"/>
        <v>0.1537708008236503</v>
      </c>
      <c r="K7" s="56">
        <f t="shared" si="5"/>
        <v>0.22119569842577674</v>
      </c>
      <c r="L7" s="56">
        <f t="shared" si="6"/>
        <v>0.58665184317547736</v>
      </c>
      <c r="M7" s="56">
        <f t="shared" si="0"/>
        <v>1.5066641718789662</v>
      </c>
      <c r="N7" s="56">
        <f t="shared" si="1"/>
        <v>3.0064047825962718E-2</v>
      </c>
      <c r="O7" s="56">
        <f t="shared" si="2"/>
        <v>0.27517005234098618</v>
      </c>
      <c r="P7" s="49">
        <f t="shared" si="7"/>
        <v>0.16142901839253213</v>
      </c>
      <c r="Q7" s="57">
        <f t="shared" si="8"/>
        <v>1.5066641718789662</v>
      </c>
    </row>
    <row r="8" spans="1:17" ht="15" thickBot="1" x14ac:dyDescent="0.4">
      <c r="A8" s="70"/>
      <c r="B8" s="51">
        <v>2022</v>
      </c>
      <c r="C8" s="52">
        <v>129021.35</v>
      </c>
      <c r="D8" s="53">
        <v>44090.65</v>
      </c>
      <c r="E8" s="52">
        <v>-532.47</v>
      </c>
      <c r="F8" s="52">
        <v>46882.73</v>
      </c>
      <c r="G8" s="54">
        <v>172740.62</v>
      </c>
      <c r="H8" s="55">
        <v>125433.76</v>
      </c>
      <c r="I8" s="56">
        <f t="shared" si="3"/>
        <v>-88.047645876763013</v>
      </c>
      <c r="J8" s="56">
        <f t="shared" si="4"/>
        <v>-1.2076710141492584E-2</v>
      </c>
      <c r="K8" s="56">
        <f t="shared" si="5"/>
        <v>0.34173142662047795</v>
      </c>
      <c r="L8" s="56">
        <f t="shared" si="6"/>
        <v>0.74690799419383824</v>
      </c>
      <c r="M8" s="56">
        <f t="shared" si="0"/>
        <v>1.3771461526785134</v>
      </c>
      <c r="N8" s="56">
        <f t="shared" si="1"/>
        <v>-4.245029408350671E-3</v>
      </c>
      <c r="O8" s="56">
        <f t="shared" si="2"/>
        <v>0.36337187604997156</v>
      </c>
      <c r="P8" s="49">
        <f t="shared" si="7"/>
        <v>0.27140535908693625</v>
      </c>
      <c r="Q8" s="57">
        <f t="shared" si="8"/>
        <v>1.3771461526785134</v>
      </c>
    </row>
    <row r="9" spans="1:17" ht="15" thickBot="1" x14ac:dyDescent="0.4">
      <c r="A9" s="70"/>
      <c r="B9" s="51">
        <v>2023</v>
      </c>
      <c r="C9" s="52">
        <v>142913.32</v>
      </c>
      <c r="D9" s="53">
        <v>20089.7</v>
      </c>
      <c r="E9" s="52">
        <v>486.06</v>
      </c>
      <c r="F9" s="52">
        <v>24064.33</v>
      </c>
      <c r="G9" s="54">
        <v>190259.66</v>
      </c>
      <c r="H9" s="55">
        <v>136608.88</v>
      </c>
      <c r="I9" s="56">
        <f t="shared" si="3"/>
        <v>49.508970085997618</v>
      </c>
      <c r="J9" s="56">
        <f t="shared" si="4"/>
        <v>2.4194487722564297E-2</v>
      </c>
      <c r="K9" s="56">
        <f t="shared" si="5"/>
        <v>0.1405726212224305</v>
      </c>
      <c r="L9" s="56">
        <f t="shared" si="6"/>
        <v>0.75114882471670563</v>
      </c>
      <c r="M9" s="56">
        <f t="shared" si="0"/>
        <v>1.3927327418246895</v>
      </c>
      <c r="N9" s="56">
        <f t="shared" si="1"/>
        <v>3.5580410292508071E-3</v>
      </c>
      <c r="O9" s="56">
        <f t="shared" si="2"/>
        <v>0.1683840946386243</v>
      </c>
      <c r="P9" s="49">
        <f t="shared" si="7"/>
        <v>0.12648151478878919</v>
      </c>
      <c r="Q9" s="57">
        <f t="shared" si="8"/>
        <v>1.3927327418246895</v>
      </c>
    </row>
    <row r="10" spans="1:17" ht="15" thickBot="1" x14ac:dyDescent="0.4">
      <c r="A10" s="70"/>
      <c r="B10" s="51">
        <v>2024</v>
      </c>
      <c r="C10" s="52">
        <v>140932.65</v>
      </c>
      <c r="D10" s="53">
        <v>19504.71</v>
      </c>
      <c r="E10" s="52">
        <v>-540.61</v>
      </c>
      <c r="F10" s="52">
        <v>23605.23</v>
      </c>
      <c r="G10" s="54">
        <v>194303.92</v>
      </c>
      <c r="H10" s="55">
        <v>141229.47</v>
      </c>
      <c r="I10" s="56">
        <f t="shared" si="3"/>
        <v>-43.664064667690198</v>
      </c>
      <c r="J10" s="56">
        <f t="shared" si="4"/>
        <v>-2.7716895047401373E-2</v>
      </c>
      <c r="K10" s="56">
        <f t="shared" si="5"/>
        <v>0.13839738343102184</v>
      </c>
      <c r="L10" s="56">
        <f t="shared" si="6"/>
        <v>0.72532067289224011</v>
      </c>
      <c r="M10" s="56">
        <f t="shared" si="0"/>
        <v>1.3758029397122287</v>
      </c>
      <c r="N10" s="56">
        <f t="shared" si="1"/>
        <v>-3.8278837979070523E-3</v>
      </c>
      <c r="O10" s="56">
        <f t="shared" si="2"/>
        <v>0.16749298335055787</v>
      </c>
      <c r="P10" s="49">
        <f t="shared" si="7"/>
        <v>0.12148612338855541</v>
      </c>
      <c r="Q10" s="57">
        <f t="shared" si="8"/>
        <v>1.3758029397122287</v>
      </c>
    </row>
    <row r="11" spans="1:17" ht="15" thickBot="1" x14ac:dyDescent="0.4">
      <c r="A11" s="71"/>
      <c r="B11" s="51">
        <v>2025</v>
      </c>
      <c r="C11" s="52">
        <v>132516.66</v>
      </c>
      <c r="D11" s="53">
        <v>18718.84</v>
      </c>
      <c r="E11" s="52">
        <v>983.63</v>
      </c>
      <c r="F11" s="52">
        <v>22957.190000000002</v>
      </c>
      <c r="G11" s="54">
        <v>199577.42</v>
      </c>
      <c r="H11" s="55">
        <v>126731.94</v>
      </c>
      <c r="I11" s="56">
        <f t="shared" si="3"/>
        <v>23.339253581122986</v>
      </c>
      <c r="J11" s="56">
        <f t="shared" si="4"/>
        <v>5.2547593761151867E-2</v>
      </c>
      <c r="K11" s="56">
        <f t="shared" si="5"/>
        <v>0.14125650314458574</v>
      </c>
      <c r="L11" s="56">
        <f t="shared" si="6"/>
        <v>0.66398623651914124</v>
      </c>
      <c r="M11" s="56">
        <f t="shared" si="0"/>
        <v>1.5747996913800895</v>
      </c>
      <c r="N11" s="56">
        <f t="shared" si="1"/>
        <v>7.7615003763060837E-3</v>
      </c>
      <c r="O11" s="56">
        <f t="shared" si="2"/>
        <v>0.17324002883863812</v>
      </c>
      <c r="P11" s="49">
        <f t="shared" si="7"/>
        <v>0.11502899476303483</v>
      </c>
      <c r="Q11" s="57">
        <f t="shared" si="8"/>
        <v>1.5747996913800895</v>
      </c>
    </row>
    <row r="12" spans="1:17" ht="15" thickBot="1" x14ac:dyDescent="0.4">
      <c r="A12" s="69" t="s">
        <v>123</v>
      </c>
      <c r="B12" s="51">
        <v>2021</v>
      </c>
      <c r="C12" s="52">
        <v>69110.02</v>
      </c>
      <c r="D12" s="53">
        <v>6879.03</v>
      </c>
      <c r="E12" s="52">
        <v>3850.02</v>
      </c>
      <c r="F12" s="52">
        <v>9696.17</v>
      </c>
      <c r="G12" s="54">
        <v>43494.879999999997</v>
      </c>
      <c r="H12" s="55">
        <v>87368.39</v>
      </c>
      <c r="I12" s="56">
        <f t="shared" si="3"/>
        <v>2.5184726313110062</v>
      </c>
      <c r="J12" s="56">
        <f t="shared" si="4"/>
        <v>0.55967483787685179</v>
      </c>
      <c r="K12" s="56">
        <f t="shared" si="5"/>
        <v>9.9537375332838851E-2</v>
      </c>
      <c r="L12" s="56">
        <f t="shared" si="6"/>
        <v>1.5889231100304222</v>
      </c>
      <c r="M12" s="56">
        <f t="shared" si="0"/>
        <v>0.49783314079611629</v>
      </c>
      <c r="N12" s="56">
        <f t="shared" si="1"/>
        <v>4.4066509638096801E-2</v>
      </c>
      <c r="O12" s="56">
        <f t="shared" si="2"/>
        <v>0.14030049477630016</v>
      </c>
      <c r="P12" s="49">
        <f t="shared" si="7"/>
        <v>0.22292669849876584</v>
      </c>
      <c r="Q12" s="57">
        <f t="shared" si="8"/>
        <v>0.49783314079611629</v>
      </c>
    </row>
    <row r="13" spans="1:17" ht="15" thickBot="1" x14ac:dyDescent="0.4">
      <c r="A13" s="70"/>
      <c r="B13" s="51">
        <v>2022</v>
      </c>
      <c r="C13" s="52">
        <v>103473.32</v>
      </c>
      <c r="D13" s="53">
        <v>16038.72</v>
      </c>
      <c r="E13" s="52">
        <v>12015.04</v>
      </c>
      <c r="F13" s="52">
        <v>17736.599999999999</v>
      </c>
      <c r="G13" s="54">
        <v>52017.14</v>
      </c>
      <c r="H13" s="55">
        <v>78705.36</v>
      </c>
      <c r="I13" s="56">
        <f t="shared" si="3"/>
        <v>1.4761998295469676</v>
      </c>
      <c r="J13" s="56">
        <f t="shared" si="4"/>
        <v>0.7491271123880211</v>
      </c>
      <c r="K13" s="56">
        <f t="shared" si="5"/>
        <v>0.15500343470181491</v>
      </c>
      <c r="L13" s="56">
        <f t="shared" si="6"/>
        <v>1.9892158623100002</v>
      </c>
      <c r="M13" s="56">
        <f t="shared" si="0"/>
        <v>0.66090975252511386</v>
      </c>
      <c r="N13" s="56">
        <f t="shared" si="1"/>
        <v>0.15265847205323754</v>
      </c>
      <c r="O13" s="56">
        <f t="shared" si="2"/>
        <v>0.17141230222438014</v>
      </c>
      <c r="P13" s="49">
        <f t="shared" si="7"/>
        <v>0.34097607057981272</v>
      </c>
      <c r="Q13" s="57">
        <f t="shared" si="8"/>
        <v>0.66090975252511386</v>
      </c>
    </row>
    <row r="14" spans="1:17" ht="15" thickBot="1" x14ac:dyDescent="0.4">
      <c r="A14" s="70"/>
      <c r="B14" s="51">
        <v>2023</v>
      </c>
      <c r="C14" s="52">
        <v>104447.36</v>
      </c>
      <c r="D14" s="53">
        <v>2636.91</v>
      </c>
      <c r="E14" s="52">
        <v>1903.07</v>
      </c>
      <c r="F14" s="52">
        <v>4674.38</v>
      </c>
      <c r="G14" s="54">
        <v>52139.18</v>
      </c>
      <c r="H14" s="55">
        <v>92586.05</v>
      </c>
      <c r="I14" s="56">
        <f t="shared" si="3"/>
        <v>2.4562312474055079</v>
      </c>
      <c r="J14" s="56">
        <f t="shared" si="4"/>
        <v>0.7217045708803107</v>
      </c>
      <c r="K14" s="56">
        <f t="shared" si="5"/>
        <v>2.5246305890354717E-2</v>
      </c>
      <c r="L14" s="56">
        <f t="shared" si="6"/>
        <v>2.0032413244703888</v>
      </c>
      <c r="M14" s="56">
        <f t="shared" si="0"/>
        <v>0.56314293567983509</v>
      </c>
      <c r="N14" s="56">
        <f t="shared" si="1"/>
        <v>2.0554608388628742E-2</v>
      </c>
      <c r="O14" s="56">
        <f t="shared" si="2"/>
        <v>4.475345283978456E-2</v>
      </c>
      <c r="P14" s="49">
        <f t="shared" si="7"/>
        <v>8.9651966141393105E-2</v>
      </c>
      <c r="Q14" s="57">
        <f t="shared" si="8"/>
        <v>0.56314293567983509</v>
      </c>
    </row>
    <row r="15" spans="1:17" ht="15" thickBot="1" x14ac:dyDescent="0.4">
      <c r="A15" s="70"/>
      <c r="B15" s="51">
        <v>2024</v>
      </c>
      <c r="C15" s="52">
        <v>105374.59</v>
      </c>
      <c r="D15" s="53">
        <v>3687.67</v>
      </c>
      <c r="E15" s="52">
        <v>2733.11</v>
      </c>
      <c r="F15" s="52">
        <v>6161.48</v>
      </c>
      <c r="G15" s="54">
        <v>54130.54</v>
      </c>
      <c r="H15" s="55">
        <v>99440.29</v>
      </c>
      <c r="I15" s="56">
        <f t="shared" si="3"/>
        <v>2.2543841996846079</v>
      </c>
      <c r="J15" s="56">
        <f t="shared" si="4"/>
        <v>0.74114820469293619</v>
      </c>
      <c r="K15" s="56">
        <f t="shared" si="5"/>
        <v>3.4995818251819535E-2</v>
      </c>
      <c r="L15" s="56">
        <f t="shared" si="6"/>
        <v>1.9466753887916137</v>
      </c>
      <c r="M15" s="56">
        <f t="shared" si="0"/>
        <v>0.54435219366315202</v>
      </c>
      <c r="N15" s="56">
        <f t="shared" si="1"/>
        <v>2.7484935934921351E-2</v>
      </c>
      <c r="O15" s="56">
        <f t="shared" si="2"/>
        <v>5.8472161077922101E-2</v>
      </c>
      <c r="P15" s="49">
        <f t="shared" si="7"/>
        <v>0.11382631689984987</v>
      </c>
      <c r="Q15" s="57">
        <f t="shared" si="8"/>
        <v>0.54435219366315202</v>
      </c>
    </row>
    <row r="16" spans="1:17" ht="15" thickBot="1" x14ac:dyDescent="0.4">
      <c r="A16" s="71"/>
      <c r="B16" s="51">
        <v>2025</v>
      </c>
      <c r="C16" s="52">
        <v>102478.19</v>
      </c>
      <c r="D16" s="53">
        <v>3008.82</v>
      </c>
      <c r="E16" s="52">
        <v>2147.96</v>
      </c>
      <c r="F16" s="52">
        <v>5801.59</v>
      </c>
      <c r="G16" s="54">
        <v>55656.41</v>
      </c>
      <c r="H16" s="55">
        <v>100616.51</v>
      </c>
      <c r="I16" s="56">
        <f t="shared" si="3"/>
        <v>2.7009767407214289</v>
      </c>
      <c r="J16" s="56">
        <f t="shared" si="4"/>
        <v>0.71388783642756959</v>
      </c>
      <c r="K16" s="56">
        <f t="shared" si="5"/>
        <v>2.9360588823826809E-2</v>
      </c>
      <c r="L16" s="56">
        <f t="shared" si="6"/>
        <v>1.841264824662604</v>
      </c>
      <c r="M16" s="56">
        <f t="shared" si="0"/>
        <v>0.55315385119201621</v>
      </c>
      <c r="N16" s="56">
        <f t="shared" si="1"/>
        <v>2.134798752212734E-2</v>
      </c>
      <c r="O16" s="56">
        <f t="shared" si="2"/>
        <v>5.6612924174402376E-2</v>
      </c>
      <c r="P16" s="49">
        <f t="shared" si="7"/>
        <v>0.10423938590361828</v>
      </c>
      <c r="Q16" s="57">
        <f t="shared" si="8"/>
        <v>0.55315385119201621</v>
      </c>
    </row>
    <row r="17" spans="1:17" ht="15" thickBot="1" x14ac:dyDescent="0.4">
      <c r="A17" s="69" t="s">
        <v>141</v>
      </c>
      <c r="B17" s="51">
        <v>2021</v>
      </c>
      <c r="C17" s="52">
        <v>33346.19</v>
      </c>
      <c r="D17" s="53">
        <v>9119.2199999999993</v>
      </c>
      <c r="E17" s="52">
        <v>11305.759999999998</v>
      </c>
      <c r="F17" s="52">
        <v>7154.31</v>
      </c>
      <c r="G17" s="54">
        <v>54915.95</v>
      </c>
      <c r="H17" s="55">
        <v>32642.11</v>
      </c>
      <c r="I17" s="56">
        <f t="shared" si="3"/>
        <v>0.63280221763065914</v>
      </c>
      <c r="J17" s="56">
        <f t="shared" si="4"/>
        <v>1.2397726998581018</v>
      </c>
      <c r="K17" s="56">
        <f t="shared" si="5"/>
        <v>0.27347112218817199</v>
      </c>
      <c r="L17" s="56">
        <f t="shared" si="6"/>
        <v>0.60722230972968694</v>
      </c>
      <c r="M17" s="56">
        <f t="shared" si="0"/>
        <v>1.682365202494569</v>
      </c>
      <c r="N17" s="56">
        <f t="shared" si="1"/>
        <v>0.34635506099329966</v>
      </c>
      <c r="O17" s="56">
        <f t="shared" si="2"/>
        <v>0.21454654939589801</v>
      </c>
      <c r="P17" s="49">
        <f t="shared" si="7"/>
        <v>0.13027745126871157</v>
      </c>
      <c r="Q17" s="57">
        <f t="shared" si="8"/>
        <v>1.682365202494569</v>
      </c>
    </row>
    <row r="18" spans="1:17" ht="15" thickBot="1" x14ac:dyDescent="0.4">
      <c r="A18" s="70"/>
      <c r="B18" s="51">
        <v>2022</v>
      </c>
      <c r="C18" s="52">
        <v>49511.53</v>
      </c>
      <c r="D18" s="53">
        <v>11168.08</v>
      </c>
      <c r="E18" s="52">
        <v>12582.869999999999</v>
      </c>
      <c r="F18" s="52">
        <v>8283.42</v>
      </c>
      <c r="G18" s="54">
        <v>57635.14</v>
      </c>
      <c r="H18" s="55">
        <v>40360.480000000003</v>
      </c>
      <c r="I18" s="56">
        <f t="shared" si="3"/>
        <v>0.65830927284474849</v>
      </c>
      <c r="J18" s="56">
        <f t="shared" si="4"/>
        <v>1.1266815782121904</v>
      </c>
      <c r="K18" s="56">
        <f t="shared" si="5"/>
        <v>0.22556523702660775</v>
      </c>
      <c r="L18" s="56">
        <f t="shared" si="6"/>
        <v>0.85905109278818437</v>
      </c>
      <c r="M18" s="56">
        <f t="shared" si="0"/>
        <v>1.4280092803653475</v>
      </c>
      <c r="N18" s="56">
        <f t="shared" si="1"/>
        <v>0.31176214950862824</v>
      </c>
      <c r="O18" s="56">
        <f t="shared" si="2"/>
        <v>0.16730284844762422</v>
      </c>
      <c r="P18" s="49">
        <f t="shared" si="7"/>
        <v>0.14372169478550759</v>
      </c>
      <c r="Q18" s="57">
        <f t="shared" si="8"/>
        <v>1.4280092803653475</v>
      </c>
    </row>
    <row r="19" spans="1:17" ht="15" thickBot="1" x14ac:dyDescent="0.4">
      <c r="A19" s="70"/>
      <c r="B19" s="51">
        <v>2023</v>
      </c>
      <c r="C19" s="52">
        <v>51680.42</v>
      </c>
      <c r="D19" s="53">
        <v>2872.07</v>
      </c>
      <c r="E19" s="52">
        <v>4157.8500000000004</v>
      </c>
      <c r="F19" s="52">
        <v>2426.83</v>
      </c>
      <c r="G19" s="54">
        <v>53552.12</v>
      </c>
      <c r="H19" s="55">
        <v>40556.85</v>
      </c>
      <c r="I19" s="56">
        <f t="shared" si="3"/>
        <v>0.58367425472299383</v>
      </c>
      <c r="J19" s="56">
        <f t="shared" si="4"/>
        <v>1.4476840745525006</v>
      </c>
      <c r="K19" s="56">
        <f t="shared" si="5"/>
        <v>5.5573658263613185E-2</v>
      </c>
      <c r="L19" s="56">
        <f t="shared" si="6"/>
        <v>0.96504900272855665</v>
      </c>
      <c r="M19" s="56">
        <f t="shared" si="0"/>
        <v>1.3204210879296594</v>
      </c>
      <c r="N19" s="56">
        <f t="shared" si="1"/>
        <v>0.10251905658353647</v>
      </c>
      <c r="O19" s="56">
        <f t="shared" si="2"/>
        <v>4.6958403201831561E-2</v>
      </c>
      <c r="P19" s="49">
        <f t="shared" si="7"/>
        <v>4.531716017965301E-2</v>
      </c>
      <c r="Q19" s="57">
        <f t="shared" si="8"/>
        <v>1.3204210879296594</v>
      </c>
    </row>
    <row r="20" spans="1:17" ht="15" thickBot="1" x14ac:dyDescent="0.4">
      <c r="A20" s="70"/>
      <c r="B20" s="51">
        <v>2024</v>
      </c>
      <c r="C20" s="52">
        <v>50009.39</v>
      </c>
      <c r="D20" s="53">
        <v>7150.7</v>
      </c>
      <c r="E20" s="52">
        <v>8071.49</v>
      </c>
      <c r="F20" s="52">
        <v>5273.3</v>
      </c>
      <c r="G20" s="54">
        <v>57547.18</v>
      </c>
      <c r="H20" s="55">
        <v>45493.599999999999</v>
      </c>
      <c r="I20" s="56">
        <f t="shared" si="3"/>
        <v>0.65332423133770845</v>
      </c>
      <c r="J20" s="56">
        <f t="shared" si="4"/>
        <v>1.1287692114058763</v>
      </c>
      <c r="K20" s="56">
        <f t="shared" si="5"/>
        <v>0.14298714701379081</v>
      </c>
      <c r="L20" s="56">
        <f t="shared" si="6"/>
        <v>0.86901547564971904</v>
      </c>
      <c r="M20" s="56">
        <f t="shared" si="0"/>
        <v>1.2649511140028489</v>
      </c>
      <c r="N20" s="56">
        <f t="shared" si="1"/>
        <v>0.17742034044349095</v>
      </c>
      <c r="O20" s="56">
        <f t="shared" si="2"/>
        <v>0.10544619720416507</v>
      </c>
      <c r="P20" s="49">
        <f t="shared" si="7"/>
        <v>9.1634377218831581E-2</v>
      </c>
      <c r="Q20" s="57">
        <f t="shared" si="8"/>
        <v>1.2649511140028489</v>
      </c>
    </row>
    <row r="21" spans="1:17" ht="15" thickBot="1" x14ac:dyDescent="0.4">
      <c r="A21" s="71"/>
      <c r="B21" s="51">
        <v>2025</v>
      </c>
      <c r="C21" s="52">
        <v>49143.37</v>
      </c>
      <c r="D21" s="53">
        <v>4847.08</v>
      </c>
      <c r="E21" s="52">
        <v>5467.1</v>
      </c>
      <c r="F21" s="52">
        <v>3621.18</v>
      </c>
      <c r="G21" s="54">
        <v>57625.96</v>
      </c>
      <c r="H21" s="55">
        <v>49762.87</v>
      </c>
      <c r="I21" s="56">
        <f t="shared" si="3"/>
        <v>0.6623584715845694</v>
      </c>
      <c r="J21" s="56">
        <f t="shared" si="4"/>
        <v>1.1279161887156806</v>
      </c>
      <c r="K21" s="56">
        <f t="shared" si="5"/>
        <v>9.8631412538456351E-2</v>
      </c>
      <c r="L21" s="56">
        <f t="shared" si="6"/>
        <v>0.85279915510301263</v>
      </c>
      <c r="M21" s="56">
        <f t="shared" si="0"/>
        <v>1.1580111838404819</v>
      </c>
      <c r="N21" s="56">
        <f t="shared" si="1"/>
        <v>0.10986303643660425</v>
      </c>
      <c r="O21" s="56">
        <f t="shared" si="2"/>
        <v>7.3686033334710244E-2</v>
      </c>
      <c r="P21" s="49">
        <f t="shared" si="7"/>
        <v>6.2839386970733324E-2</v>
      </c>
      <c r="Q21" s="57">
        <f t="shared" si="8"/>
        <v>1.1580111838404819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A6B3-AF08-4E60-9B6D-9287532C0B23}">
  <dimension ref="A1"/>
  <sheetViews>
    <sheetView tabSelected="1" topLeftCell="A17" zoomScale="86" workbookViewId="0">
      <selection activeCell="T19" sqref="T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Finance</vt:lpstr>
      <vt:lpstr>CHARTS</vt:lpstr>
      <vt:lpstr>DUPONT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Gupta</dc:creator>
  <cp:lastModifiedBy>dell</cp:lastModifiedBy>
  <dcterms:created xsi:type="dcterms:W3CDTF">2026-03-19T14:48:12Z</dcterms:created>
  <dcterms:modified xsi:type="dcterms:W3CDTF">2026-03-19T17:32:38Z</dcterms:modified>
</cp:coreProperties>
</file>