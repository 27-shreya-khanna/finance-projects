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hindr\OneDrive\Desktop\anjali gupta\art of communication\statistics assignment\New folder\shreya\"/>
    </mc:Choice>
  </mc:AlternateContent>
  <xr:revisionPtr revIDLastSave="0" documentId="8_{167320E7-C64D-44C9-AAA4-3B7AE2E94961}" xr6:coauthVersionLast="47" xr6:coauthVersionMax="47" xr10:uidLastSave="{00000000-0000-0000-0000-000000000000}"/>
  <bookViews>
    <workbookView xWindow="-108" yWindow="-108" windowWidth="23256" windowHeight="12456" firstSheet="2" activeTab="5" xr2:uid="{A9908EF0-13B5-47EF-BA11-E5D029BA5C8E}"/>
  </bookViews>
  <sheets>
    <sheet name="RAW DATA" sheetId="1" r:id="rId1"/>
    <sheet name="DESCRIPTIVE ANALYSIS" sheetId="2" r:id="rId2"/>
    <sheet name="bar chart" sheetId="8" r:id="rId3"/>
    <sheet name="histogram" sheetId="9" r:id="rId4"/>
    <sheet name="SCATTER PLOT" sheetId="6" r:id="rId5"/>
    <sheet name="pie chart" sheetId="10" r:id="rId6"/>
  </sheets>
  <definedNames>
    <definedName name="_xlcn.WorksheetConnection_rawdata.xlsxTable11" hidden="1">Table1[]</definedName>
  </definedNames>
  <calcPr calcId="191029"/>
  <pivotCaches>
    <pivotCache cacheId="13" r:id="rId7"/>
    <pivotCache cacheId="22" r:id="rId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aw data.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 i="9" l="1"/>
  <c r="K5" i="9"/>
  <c r="K4" i="9"/>
  <c r="K3" i="9"/>
  <c r="J3" i="9"/>
  <c r="J4" i="9" s="1"/>
  <c r="J5" i="9" s="1"/>
  <c r="K2" i="9"/>
  <c r="J2" i="9"/>
  <c r="B3"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3B05C2-5179-442D-A9A1-7B930BBA9F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545EC3-9C83-447B-ABB9-15CF64B0EBAF}" name="WorksheetConnection_raw data.xlsx!Table1" type="102" refreshedVersion="8" minRefreshableVersion="5">
    <extLst>
      <ext xmlns:x15="http://schemas.microsoft.com/office/spreadsheetml/2010/11/main" uri="{DE250136-89BD-433C-8126-D09CA5730AF9}">
        <x15:connection id="Table1" autoDelete="1">
          <x15:rangePr sourceName="_xlcn.WorksheetConnection_rawdata.xlsxTable11"/>
        </x15:connection>
      </ext>
    </extLst>
  </connection>
</connections>
</file>

<file path=xl/sharedStrings.xml><?xml version="1.0" encoding="utf-8"?>
<sst xmlns="http://schemas.openxmlformats.org/spreadsheetml/2006/main" count="283" uniqueCount="147">
  <si>
    <t>Category</t>
  </si>
  <si>
    <t>Staff Count</t>
  </si>
  <si>
    <t>Customer Name</t>
  </si>
  <si>
    <t>Product ID</t>
  </si>
  <si>
    <t>Price</t>
  </si>
  <si>
    <t>Quantity</t>
  </si>
  <si>
    <t>Sales Profit</t>
  </si>
  <si>
    <t>Women</t>
  </si>
  <si>
    <t>Michele Ochoa</t>
  </si>
  <si>
    <t>Kids</t>
  </si>
  <si>
    <t>Daniel Jimenez</t>
  </si>
  <si>
    <t>Men</t>
  </si>
  <si>
    <t>Steven Davis</t>
  </si>
  <si>
    <t>Derek Orozco</t>
  </si>
  <si>
    <t>Victor Arnold</t>
  </si>
  <si>
    <t>James Bennett</t>
  </si>
  <si>
    <t>Benjamin Barrett</t>
  </si>
  <si>
    <t>Matthew Cervantes</t>
  </si>
  <si>
    <t>Shelley Lopez</t>
  </si>
  <si>
    <t>Brandon Sampson</t>
  </si>
  <si>
    <t>Melissa Rowland</t>
  </si>
  <si>
    <t>Thomas Lin</t>
  </si>
  <si>
    <t>Bruce Leonard</t>
  </si>
  <si>
    <t>Tracey Barnes</t>
  </si>
  <si>
    <t>Cindy Ramirez</t>
  </si>
  <si>
    <t>Courtney Morris</t>
  </si>
  <si>
    <t>Sean Taylor</t>
  </si>
  <si>
    <t>Shannon Kelly</t>
  </si>
  <si>
    <t>Brenda Gordon</t>
  </si>
  <si>
    <t>Mark Perkins</t>
  </si>
  <si>
    <t>Aaron Lewis</t>
  </si>
  <si>
    <t>Tonya Manning</t>
  </si>
  <si>
    <t>Shannon Jarvis</t>
  </si>
  <si>
    <t>Andre Fuentes</t>
  </si>
  <si>
    <t>Kelly Braun</t>
  </si>
  <si>
    <t>Donna Rodriguez</t>
  </si>
  <si>
    <t>Michelle Torres</t>
  </si>
  <si>
    <t>Angela Buckley</t>
  </si>
  <si>
    <t>Monica Meyer</t>
  </si>
  <si>
    <t>Larry West</t>
  </si>
  <si>
    <t>Morgan Gonzales</t>
  </si>
  <si>
    <t>Timothy Jackson</t>
  </si>
  <si>
    <t>Rachel Bass</t>
  </si>
  <si>
    <t>Connie Cox</t>
  </si>
  <si>
    <t>Corey Nichols</t>
  </si>
  <si>
    <t>Elizabeth Martin</t>
  </si>
  <si>
    <t>Christopher Burns MD</t>
  </si>
  <si>
    <t>Andrew Ferguson</t>
  </si>
  <si>
    <t>Jenny Montgomery</t>
  </si>
  <si>
    <t>Diana Allen MD</t>
  </si>
  <si>
    <t>Tammy Morales</t>
  </si>
  <si>
    <t>Jennifer Nguyen</t>
  </si>
  <si>
    <t>Angela Vincent</t>
  </si>
  <si>
    <t>Vanessa Garrison</t>
  </si>
  <si>
    <t>Eric Gordon</t>
  </si>
  <si>
    <t>Clarence Turner</t>
  </si>
  <si>
    <t>Jennifer Williams</t>
  </si>
  <si>
    <t>Jeffrey Shaw</t>
  </si>
  <si>
    <t>Courtney Edwards</t>
  </si>
  <si>
    <t>Stephanie Rodriguez</t>
  </si>
  <si>
    <t>Jody Stewart</t>
  </si>
  <si>
    <t>Kelly Smith DDS</t>
  </si>
  <si>
    <t>Keith Smith</t>
  </si>
  <si>
    <t>John Jordan</t>
  </si>
  <si>
    <t>Ashley Green</t>
  </si>
  <si>
    <t>Daniel Jones</t>
  </si>
  <si>
    <t>Michelle Davenport</t>
  </si>
  <si>
    <t>Jennifer Barrera</t>
  </si>
  <si>
    <t>Marc Watson</t>
  </si>
  <si>
    <t>Yvette Mendez</t>
  </si>
  <si>
    <t>Parker Jones</t>
  </si>
  <si>
    <t>Susan Hill</t>
  </si>
  <si>
    <t>Michaela King</t>
  </si>
  <si>
    <t>Theresa Cook</t>
  </si>
  <si>
    <t>Edward Christensen</t>
  </si>
  <si>
    <t>Melissa Watkins</t>
  </si>
  <si>
    <t>John Sutton</t>
  </si>
  <si>
    <t>Angel Booth</t>
  </si>
  <si>
    <t>Kayla Cordova</t>
  </si>
  <si>
    <t>Henry Byrd</t>
  </si>
  <si>
    <t>Robert Williams</t>
  </si>
  <si>
    <t>Ms. Mary Horton</t>
  </si>
  <si>
    <t>Reginald Cook</t>
  </si>
  <si>
    <t>Alyssa Stanton</t>
  </si>
  <si>
    <t>Jonathan Munoz</t>
  </si>
  <si>
    <t>Chad Johnson</t>
  </si>
  <si>
    <t>Steve Gibson</t>
  </si>
  <si>
    <t>Jennifer Nichols</t>
  </si>
  <si>
    <t>Travis Shaffer</t>
  </si>
  <si>
    <t>Melissa Cunningham</t>
  </si>
  <si>
    <t>Vincent Collins</t>
  </si>
  <si>
    <t>Billy Jackson</t>
  </si>
  <si>
    <t>Shannon Martin</t>
  </si>
  <si>
    <t>Abigail Coleman</t>
  </si>
  <si>
    <t>Kurt Hickman</t>
  </si>
  <si>
    <t>Abigail Wright</t>
  </si>
  <si>
    <t>Daniel Ruiz</t>
  </si>
  <si>
    <t>Timothy Rangel</t>
  </si>
  <si>
    <t>Jessica Moore</t>
  </si>
  <si>
    <t>Lori Richardson</t>
  </si>
  <si>
    <t>Denise Young</t>
  </si>
  <si>
    <t>George Santos</t>
  </si>
  <si>
    <t>Joel Allen</t>
  </si>
  <si>
    <t>David Mooney</t>
  </si>
  <si>
    <t>Shawn Jones</t>
  </si>
  <si>
    <t>Susan Jackson</t>
  </si>
  <si>
    <t>Krista Boyer</t>
  </si>
  <si>
    <t>Brittany Blake</t>
  </si>
  <si>
    <t>Christopher Smith</t>
  </si>
  <si>
    <t>Wayne Jones</t>
  </si>
  <si>
    <t>Ashley Serrano</t>
  </si>
  <si>
    <t>Paul Kennedy</t>
  </si>
  <si>
    <t>Beth Harris</t>
  </si>
  <si>
    <t>Jessica Wade</t>
  </si>
  <si>
    <t>Christopher Beltran</t>
  </si>
  <si>
    <t>Calvin Haney</t>
  </si>
  <si>
    <t>Chad Torres</t>
  </si>
  <si>
    <t>Michael Barber</t>
  </si>
  <si>
    <t>Debra Galvan</t>
  </si>
  <si>
    <t>Jay Robinson</t>
  </si>
  <si>
    <t>Mean</t>
  </si>
  <si>
    <t>Standard Error</t>
  </si>
  <si>
    <t>Median</t>
  </si>
  <si>
    <t>Mode</t>
  </si>
  <si>
    <t>Standard Deviation</t>
  </si>
  <si>
    <t>Sample Variance</t>
  </si>
  <si>
    <t>Kurtosis</t>
  </si>
  <si>
    <t>Skewness</t>
  </si>
  <si>
    <t>Range</t>
  </si>
  <si>
    <t>Minimum</t>
  </si>
  <si>
    <t>Maximum</t>
  </si>
  <si>
    <t>Sum</t>
  </si>
  <si>
    <t>Count</t>
  </si>
  <si>
    <t>Column1</t>
  </si>
  <si>
    <t>Row Labels</t>
  </si>
  <si>
    <t>Grand Total</t>
  </si>
  <si>
    <t>Sum of Sales Profit</t>
  </si>
  <si>
    <t>bin data</t>
  </si>
  <si>
    <t>More</t>
  </si>
  <si>
    <t>Frequency</t>
  </si>
  <si>
    <t>Cumulative %</t>
  </si>
  <si>
    <t>bin data2</t>
  </si>
  <si>
    <t>Frequency3</t>
  </si>
  <si>
    <t>Cumulative %4</t>
  </si>
  <si>
    <r>
      <rPr>
        <b/>
        <sz val="18"/>
        <color theme="3" tint="-0.249977111117893"/>
        <rFont val="Calibri"/>
        <family val="2"/>
        <scheme val="minor"/>
      </rPr>
      <t>INFERENCE 1</t>
    </r>
    <r>
      <rPr>
        <sz val="11"/>
        <color theme="1"/>
        <rFont val="Calibri"/>
        <family val="2"/>
        <scheme val="minor"/>
      </rPr>
      <t xml:space="preserve"> sales profit distributed appears slightly left skewed, with most transactions yeilding profits between $2000 to $5000. this reflects a reflectively stable and predictable profit margin across the product portfolio. The presence of fewer extreme higher and lows suggest that they maintains consistent pricing and cost control, which contributes to reliable profibility. this stability is advantageous for forcasting and financial planning</t>
    </r>
  </si>
  <si>
    <t>INFERNCE 2 The scatter plot are disperse relationship between quantity sold and price product indicating no strong linear correlation high price items are sold in both low and high quantities and similarly low price items show varied sales volume this suggest the customer purchasing behaviour is influence by affected utility or season and promotional strategies</t>
  </si>
  <si>
    <t>INFERNCE 3  The pie chart shoes that the women's category contribute the highest share of total sales profit follow goesley by the kids with the man training slightly behind these indicates that the zodia product for women and children are the most profitable suggesting a strategic focus on the segment could be enhance overall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</si>
</sst>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indexed="8"/>
      <name val="Calibri"/>
      <family val="2"/>
    </font>
    <font>
      <b/>
      <sz val="11"/>
      <color indexed="8"/>
      <name val="Calibri"/>
      <family val="2"/>
    </font>
    <font>
      <i/>
      <sz val="11"/>
      <color theme="1"/>
      <name val="Calibri"/>
      <family val="2"/>
      <scheme val="minor"/>
    </font>
    <font>
      <b/>
      <sz val="18"/>
      <color theme="3" tint="-0.249977111117893"/>
      <name val="Calibri"/>
      <family val="2"/>
      <scheme val="minor"/>
    </font>
  </fonts>
  <fills count="5">
    <fill>
      <patternFill patternType="none"/>
    </fill>
    <fill>
      <patternFill patternType="gray125"/>
    </fill>
    <fill>
      <patternFill patternType="solid">
        <fgColor theme="8"/>
        <bgColor theme="8"/>
      </patternFill>
    </fill>
    <fill>
      <patternFill patternType="solid">
        <fgColor theme="8" tint="0.79998168889431442"/>
        <bgColor theme="8" tint="0.79998168889431442"/>
      </patternFill>
    </fill>
    <fill>
      <patternFill patternType="solid">
        <fgColor theme="0"/>
        <bgColor indexed="64"/>
      </patternFill>
    </fill>
  </fills>
  <borders count="3">
    <border>
      <left/>
      <right/>
      <top/>
      <bottom/>
      <diagonal/>
    </border>
    <border>
      <left/>
      <right/>
      <top style="thin">
        <color theme="8" tint="0.39997558519241921"/>
      </top>
      <bottom style="thin">
        <color theme="8" tint="0.39997558519241921"/>
      </bottom>
      <diagonal/>
    </border>
    <border>
      <left/>
      <right/>
      <top/>
      <bottom style="thin">
        <color indexed="64"/>
      </bottom>
      <diagonal/>
    </border>
  </borders>
  <cellStyleXfs count="1">
    <xf numFmtId="0" fontId="0" fillId="0" borderId="0"/>
  </cellStyleXfs>
  <cellXfs count="17">
    <xf numFmtId="0" fontId="0" fillId="0" borderId="0" xfId="0"/>
    <xf numFmtId="0" fontId="1" fillId="0" borderId="0" xfId="0" applyNumberFormat="1" applyFont="1" applyFill="1" applyBorder="1" applyAlignment="1" applyProtection="1"/>
    <xf numFmtId="0" fontId="0" fillId="0" borderId="0" xfId="0" applyFill="1" applyBorder="1" applyAlignment="1"/>
    <xf numFmtId="0" fontId="3" fillId="0" borderId="2" xfId="0" applyFont="1" applyFill="1" applyBorder="1" applyAlignment="1">
      <alignment horizontal="centerContinuous"/>
    </xf>
    <xf numFmtId="0" fontId="0" fillId="0" borderId="0" xfId="0" pivotButton="1"/>
    <xf numFmtId="0" fontId="0" fillId="0" borderId="0" xfId="0" applyAlignment="1">
      <alignment horizontal="left"/>
    </xf>
    <xf numFmtId="0" fontId="0" fillId="0" borderId="0" xfId="0" applyNumberFormat="1"/>
    <xf numFmtId="0" fontId="2" fillId="2" borderId="1" xfId="0" applyNumberFormat="1" applyFont="1" applyFill="1" applyBorder="1" applyAlignment="1"/>
    <xf numFmtId="0" fontId="1" fillId="3" borderId="1" xfId="0" applyNumberFormat="1" applyFont="1" applyFill="1" applyBorder="1" applyAlignment="1"/>
    <xf numFmtId="0" fontId="1" fillId="0" borderId="1" xfId="0" applyNumberFormat="1" applyFont="1" applyBorder="1" applyAlignment="1"/>
    <xf numFmtId="0" fontId="0" fillId="0" borderId="0" xfId="0" applyNumberFormat="1" applyFill="1" applyBorder="1" applyAlignment="1"/>
    <xf numFmtId="10" fontId="0" fillId="0" borderId="0" xfId="0" applyNumberFormat="1" applyFill="1" applyBorder="1" applyAlignment="1"/>
    <xf numFmtId="0" fontId="3" fillId="0" borderId="2" xfId="0" applyFont="1" applyFill="1" applyBorder="1" applyAlignment="1">
      <alignment horizontal="center"/>
    </xf>
    <xf numFmtId="0" fontId="0" fillId="4" borderId="0" xfId="0" applyFill="1" applyAlignment="1">
      <alignment horizontal="center"/>
    </xf>
    <xf numFmtId="0" fontId="0" fillId="4" borderId="0" xfId="0" applyFill="1" applyAlignment="1">
      <alignment horizontal="center" vertical="center" wrapText="1"/>
    </xf>
    <xf numFmtId="0" fontId="0" fillId="4" borderId="0" xfId="0" applyFill="1" applyAlignment="1">
      <alignment horizontal="left" vertical="center" wrapText="1"/>
    </xf>
    <xf numFmtId="0" fontId="0" fillId="0" borderId="0" xfId="0" applyAlignment="1">
      <alignment horizontal="center" vertical="center" wrapText="1"/>
    </xf>
  </cellXfs>
  <cellStyles count="1">
    <cellStyle name="Normal" xfId="0" builtinId="0"/>
  </cellStyles>
  <dxfs count="31">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numFmt numFmtId="14" formatCode="0.00%"/>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numFmt numFmtId="0" formatCode="General"/>
      <fill>
        <patternFill patternType="none">
          <fgColor indexed="64"/>
          <bgColor indexed="65"/>
        </patternFill>
      </fill>
      <alignment horizontal="general" vertical="bottom" textRotation="0" wrapText="0" indent="0" justifyLastLine="0" shrinkToFit="0" readingOrder="0"/>
    </dxf>
    <dxf>
      <numFmt numFmtId="14" formatCode="0.00%"/>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numFmt numFmtId="0" formatCode="General"/>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Continuous"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Continuous"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border outline="0">
        <top style="medium">
          <color indexed="64"/>
        </top>
        <bottom style="medium">
          <color indexed="64"/>
        </bottom>
      </border>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[final.xlsx]bar chart!PivotTable2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Sales profit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 chart'!$A$4:$A$7</c:f>
              <c:strCache>
                <c:ptCount val="3"/>
                <c:pt idx="0">
                  <c:v>Kids</c:v>
                </c:pt>
                <c:pt idx="1">
                  <c:v>Men</c:v>
                </c:pt>
                <c:pt idx="2">
                  <c:v>Women</c:v>
                </c:pt>
              </c:strCache>
            </c:strRef>
          </c:cat>
          <c:val>
            <c:numRef>
              <c:f>'bar chart'!$B$4:$B$7</c:f>
              <c:numCache>
                <c:formatCode>General</c:formatCode>
                <c:ptCount val="3"/>
                <c:pt idx="0">
                  <c:v>120021.2</c:v>
                </c:pt>
                <c:pt idx="1">
                  <c:v>106852.8</c:v>
                </c:pt>
                <c:pt idx="2">
                  <c:v>124918.8</c:v>
                </c:pt>
              </c:numCache>
            </c:numRef>
          </c:val>
          <c:extLst>
            <c:ext xmlns:c16="http://schemas.microsoft.com/office/drawing/2014/chart" uri="{C3380CC4-5D6E-409C-BE32-E72D297353CC}">
              <c16:uniqueId val="{00000000-A9AD-47A3-BDCF-99C2145AA8A5}"/>
            </c:ext>
          </c:extLst>
        </c:ser>
        <c:dLbls>
          <c:showLegendKey val="0"/>
          <c:showVal val="0"/>
          <c:showCatName val="0"/>
          <c:showSerName val="0"/>
          <c:showPercent val="0"/>
          <c:showBubbleSize val="0"/>
        </c:dLbls>
        <c:gapWidth val="100"/>
        <c:overlap val="-24"/>
        <c:axId val="398907151"/>
        <c:axId val="398903791"/>
      </c:barChart>
      <c:catAx>
        <c:axId val="3989071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8903791"/>
        <c:crosses val="autoZero"/>
        <c:auto val="1"/>
        <c:lblAlgn val="ctr"/>
        <c:lblOffset val="100"/>
        <c:noMultiLvlLbl val="0"/>
      </c:catAx>
      <c:valAx>
        <c:axId val="3989037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890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Histogram</a:t>
            </a:r>
          </a:p>
        </c:rich>
      </c:tx>
      <c:overlay val="0"/>
    </c:title>
    <c:autoTitleDeleted val="0"/>
    <c:plotArea>
      <c:layout/>
      <c:barChart>
        <c:barDir val="col"/>
        <c:grouping val="clustered"/>
        <c:varyColors val="0"/>
        <c:ser>
          <c:idx val="0"/>
          <c:order val="0"/>
          <c:tx>
            <c:v>Frequency</c:v>
          </c:tx>
          <c:invertIfNegative val="0"/>
          <c:cat>
            <c:strRef>
              <c:f>histogram!$D$2:$D$7</c:f>
              <c:strCache>
                <c:ptCount val="6"/>
                <c:pt idx="0">
                  <c:v>More</c:v>
                </c:pt>
                <c:pt idx="1">
                  <c:v>1500</c:v>
                </c:pt>
                <c:pt idx="2">
                  <c:v>2500</c:v>
                </c:pt>
                <c:pt idx="3">
                  <c:v>2000</c:v>
                </c:pt>
                <c:pt idx="4">
                  <c:v>1000</c:v>
                </c:pt>
                <c:pt idx="5">
                  <c:v>500</c:v>
                </c:pt>
              </c:strCache>
            </c:strRef>
          </c:cat>
          <c:val>
            <c:numRef>
              <c:f>histogram!$E$2:$E$7</c:f>
              <c:numCache>
                <c:formatCode>General</c:formatCode>
                <c:ptCount val="6"/>
                <c:pt idx="0">
                  <c:v>30</c:v>
                </c:pt>
                <c:pt idx="1">
                  <c:v>26</c:v>
                </c:pt>
                <c:pt idx="2">
                  <c:v>22</c:v>
                </c:pt>
                <c:pt idx="3">
                  <c:v>20</c:v>
                </c:pt>
                <c:pt idx="4">
                  <c:v>11</c:v>
                </c:pt>
                <c:pt idx="5">
                  <c:v>1</c:v>
                </c:pt>
              </c:numCache>
            </c:numRef>
          </c:val>
          <c:extLst>
            <c:ext xmlns:c16="http://schemas.microsoft.com/office/drawing/2014/chart" uri="{C3380CC4-5D6E-409C-BE32-E72D297353CC}">
              <c16:uniqueId val="{00000001-0112-487D-B587-FDAF0E4E76F6}"/>
            </c:ext>
          </c:extLst>
        </c:ser>
        <c:dLbls>
          <c:showLegendKey val="0"/>
          <c:showVal val="0"/>
          <c:showCatName val="0"/>
          <c:showSerName val="0"/>
          <c:showPercent val="0"/>
          <c:showBubbleSize val="0"/>
        </c:dLbls>
        <c:gapWidth val="150"/>
        <c:axId val="2109825327"/>
        <c:axId val="2109827727"/>
      </c:barChart>
      <c:lineChart>
        <c:grouping val="standard"/>
        <c:varyColors val="0"/>
        <c:ser>
          <c:idx val="1"/>
          <c:order val="1"/>
          <c:tx>
            <c:v>Cumulative %</c:v>
          </c:tx>
          <c:cat>
            <c:strRef>
              <c:f>histogram!$D$2:$D$7</c:f>
              <c:strCache>
                <c:ptCount val="6"/>
                <c:pt idx="0">
                  <c:v>More</c:v>
                </c:pt>
                <c:pt idx="1">
                  <c:v>1500</c:v>
                </c:pt>
                <c:pt idx="2">
                  <c:v>2500</c:v>
                </c:pt>
                <c:pt idx="3">
                  <c:v>2000</c:v>
                </c:pt>
                <c:pt idx="4">
                  <c:v>1000</c:v>
                </c:pt>
                <c:pt idx="5">
                  <c:v>500</c:v>
                </c:pt>
              </c:strCache>
            </c:strRef>
          </c:cat>
          <c:val>
            <c:numRef>
              <c:f>histogram!$F$2:$F$7</c:f>
              <c:numCache>
                <c:formatCode>0.00%</c:formatCode>
                <c:ptCount val="6"/>
                <c:pt idx="0">
                  <c:v>0.27272727272727271</c:v>
                </c:pt>
                <c:pt idx="1">
                  <c:v>0.50909090909090904</c:v>
                </c:pt>
                <c:pt idx="2">
                  <c:v>0.70909090909090911</c:v>
                </c:pt>
                <c:pt idx="3">
                  <c:v>0.89090909090909087</c:v>
                </c:pt>
                <c:pt idx="4">
                  <c:v>0.99090909090909096</c:v>
                </c:pt>
                <c:pt idx="5">
                  <c:v>1</c:v>
                </c:pt>
              </c:numCache>
            </c:numRef>
          </c:val>
          <c:smooth val="0"/>
          <c:extLst>
            <c:ext xmlns:c16="http://schemas.microsoft.com/office/drawing/2014/chart" uri="{C3380CC4-5D6E-409C-BE32-E72D297353CC}">
              <c16:uniqueId val="{00000002-0112-487D-B587-FDAF0E4E76F6}"/>
            </c:ext>
          </c:extLst>
        </c:ser>
        <c:dLbls>
          <c:showLegendKey val="0"/>
          <c:showVal val="0"/>
          <c:showCatName val="0"/>
          <c:showSerName val="0"/>
          <c:showPercent val="0"/>
          <c:showBubbleSize val="0"/>
        </c:dLbls>
        <c:marker val="1"/>
        <c:smooth val="0"/>
        <c:axId val="310990479"/>
        <c:axId val="310988079"/>
      </c:lineChart>
      <c:catAx>
        <c:axId val="2109825327"/>
        <c:scaling>
          <c:orientation val="minMax"/>
        </c:scaling>
        <c:delete val="0"/>
        <c:axPos val="b"/>
        <c:title>
          <c:tx>
            <c:rich>
              <a:bodyPr/>
              <a:lstStyle/>
              <a:p>
                <a:pPr>
                  <a:defRPr/>
                </a:pPr>
                <a:r>
                  <a:rPr lang="en-IN"/>
                  <a:t>bin data</a:t>
                </a:r>
              </a:p>
            </c:rich>
          </c:tx>
          <c:overlay val="0"/>
        </c:title>
        <c:numFmt formatCode="General" sourceLinked="1"/>
        <c:majorTickMark val="out"/>
        <c:minorTickMark val="none"/>
        <c:tickLblPos val="nextTo"/>
        <c:crossAx val="2109827727"/>
        <c:crosses val="autoZero"/>
        <c:auto val="1"/>
        <c:lblAlgn val="ctr"/>
        <c:lblOffset val="100"/>
        <c:noMultiLvlLbl val="0"/>
      </c:catAx>
      <c:valAx>
        <c:axId val="2109827727"/>
        <c:scaling>
          <c:orientation val="minMax"/>
        </c:scaling>
        <c:delete val="0"/>
        <c:axPos val="l"/>
        <c:title>
          <c:tx>
            <c:rich>
              <a:bodyPr/>
              <a:lstStyle/>
              <a:p>
                <a:pPr>
                  <a:defRPr/>
                </a:pPr>
                <a:r>
                  <a:rPr lang="en-IN"/>
                  <a:t>Frequency</a:t>
                </a:r>
              </a:p>
            </c:rich>
          </c:tx>
          <c:overlay val="0"/>
        </c:title>
        <c:numFmt formatCode="General" sourceLinked="1"/>
        <c:majorTickMark val="out"/>
        <c:minorTickMark val="none"/>
        <c:tickLblPos val="nextTo"/>
        <c:crossAx val="2109825327"/>
        <c:crosses val="autoZero"/>
        <c:crossBetween val="between"/>
      </c:valAx>
      <c:valAx>
        <c:axId val="310988079"/>
        <c:scaling>
          <c:orientation val="minMax"/>
        </c:scaling>
        <c:delete val="0"/>
        <c:axPos val="r"/>
        <c:numFmt formatCode="0.00%" sourceLinked="1"/>
        <c:majorTickMark val="out"/>
        <c:minorTickMark val="none"/>
        <c:tickLblPos val="nextTo"/>
        <c:crossAx val="310990479"/>
        <c:crosses val="max"/>
        <c:crossBetween val="between"/>
      </c:valAx>
      <c:catAx>
        <c:axId val="310990479"/>
        <c:scaling>
          <c:orientation val="minMax"/>
        </c:scaling>
        <c:delete val="1"/>
        <c:axPos val="b"/>
        <c:numFmt formatCode="General" sourceLinked="1"/>
        <c:majorTickMark val="out"/>
        <c:minorTickMark val="none"/>
        <c:tickLblPos val="nextTo"/>
        <c:crossAx val="310988079"/>
        <c:auto val="1"/>
        <c:lblAlgn val="ctr"/>
        <c:lblOffset val="100"/>
        <c:noMultiLvlLbl val="0"/>
      </c:cat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PLOT'!$B$1</c:f>
              <c:strCache>
                <c:ptCount val="1"/>
                <c:pt idx="0">
                  <c:v>Price</c:v>
                </c:pt>
              </c:strCache>
            </c:strRef>
          </c:tx>
          <c:spPr>
            <a:ln w="19050" cap="rnd">
              <a:noFill/>
              <a:round/>
            </a:ln>
            <a:effectLst/>
          </c:spPr>
          <c:marker>
            <c:symbol val="circle"/>
            <c:size val="5"/>
            <c:spPr>
              <a:solidFill>
                <a:schemeClr val="accent1"/>
              </a:solidFill>
              <a:ln w="9525">
                <a:solidFill>
                  <a:schemeClr val="accent1"/>
                </a:solidFill>
              </a:ln>
              <a:effectLst/>
            </c:spPr>
          </c:marker>
          <c:xVal>
            <c:numRef>
              <c:f>'SCATTER PLOT'!$A$2:$A$111</c:f>
              <c:numCache>
                <c:formatCode>General</c:formatCode>
                <c:ptCount val="110"/>
                <c:pt idx="0">
                  <c:v>5</c:v>
                </c:pt>
                <c:pt idx="1">
                  <c:v>1</c:v>
                </c:pt>
                <c:pt idx="2">
                  <c:v>2</c:v>
                </c:pt>
                <c:pt idx="3">
                  <c:v>6</c:v>
                </c:pt>
                <c:pt idx="4">
                  <c:v>6</c:v>
                </c:pt>
                <c:pt idx="5">
                  <c:v>4</c:v>
                </c:pt>
                <c:pt idx="6">
                  <c:v>4</c:v>
                </c:pt>
                <c:pt idx="7">
                  <c:v>8</c:v>
                </c:pt>
                <c:pt idx="8">
                  <c:v>1</c:v>
                </c:pt>
                <c:pt idx="9">
                  <c:v>6</c:v>
                </c:pt>
                <c:pt idx="10">
                  <c:v>5</c:v>
                </c:pt>
                <c:pt idx="11">
                  <c:v>1</c:v>
                </c:pt>
                <c:pt idx="12">
                  <c:v>5</c:v>
                </c:pt>
                <c:pt idx="13">
                  <c:v>8</c:v>
                </c:pt>
                <c:pt idx="14">
                  <c:v>2</c:v>
                </c:pt>
                <c:pt idx="15">
                  <c:v>8</c:v>
                </c:pt>
                <c:pt idx="16">
                  <c:v>8</c:v>
                </c:pt>
                <c:pt idx="17">
                  <c:v>3</c:v>
                </c:pt>
                <c:pt idx="18">
                  <c:v>2</c:v>
                </c:pt>
                <c:pt idx="19">
                  <c:v>4</c:v>
                </c:pt>
                <c:pt idx="20">
                  <c:v>3</c:v>
                </c:pt>
                <c:pt idx="21">
                  <c:v>3</c:v>
                </c:pt>
                <c:pt idx="22">
                  <c:v>2</c:v>
                </c:pt>
                <c:pt idx="23">
                  <c:v>7</c:v>
                </c:pt>
                <c:pt idx="24">
                  <c:v>7</c:v>
                </c:pt>
                <c:pt idx="25">
                  <c:v>1</c:v>
                </c:pt>
                <c:pt idx="26">
                  <c:v>4</c:v>
                </c:pt>
                <c:pt idx="27">
                  <c:v>2</c:v>
                </c:pt>
                <c:pt idx="28">
                  <c:v>6</c:v>
                </c:pt>
                <c:pt idx="29">
                  <c:v>5</c:v>
                </c:pt>
                <c:pt idx="30">
                  <c:v>2</c:v>
                </c:pt>
                <c:pt idx="31">
                  <c:v>2</c:v>
                </c:pt>
                <c:pt idx="32">
                  <c:v>8</c:v>
                </c:pt>
                <c:pt idx="33">
                  <c:v>6</c:v>
                </c:pt>
                <c:pt idx="34">
                  <c:v>2</c:v>
                </c:pt>
                <c:pt idx="35">
                  <c:v>4</c:v>
                </c:pt>
                <c:pt idx="36">
                  <c:v>1</c:v>
                </c:pt>
                <c:pt idx="37">
                  <c:v>5</c:v>
                </c:pt>
                <c:pt idx="38">
                  <c:v>1</c:v>
                </c:pt>
                <c:pt idx="39">
                  <c:v>3</c:v>
                </c:pt>
                <c:pt idx="40">
                  <c:v>4</c:v>
                </c:pt>
                <c:pt idx="41">
                  <c:v>4</c:v>
                </c:pt>
                <c:pt idx="42">
                  <c:v>4</c:v>
                </c:pt>
                <c:pt idx="43">
                  <c:v>3</c:v>
                </c:pt>
                <c:pt idx="44">
                  <c:v>8</c:v>
                </c:pt>
                <c:pt idx="45">
                  <c:v>6</c:v>
                </c:pt>
                <c:pt idx="46">
                  <c:v>5</c:v>
                </c:pt>
                <c:pt idx="47">
                  <c:v>3</c:v>
                </c:pt>
                <c:pt idx="48">
                  <c:v>3</c:v>
                </c:pt>
                <c:pt idx="49">
                  <c:v>1</c:v>
                </c:pt>
                <c:pt idx="50">
                  <c:v>1</c:v>
                </c:pt>
                <c:pt idx="51">
                  <c:v>4</c:v>
                </c:pt>
                <c:pt idx="52">
                  <c:v>3</c:v>
                </c:pt>
                <c:pt idx="53">
                  <c:v>4</c:v>
                </c:pt>
                <c:pt idx="54">
                  <c:v>8</c:v>
                </c:pt>
                <c:pt idx="55">
                  <c:v>7</c:v>
                </c:pt>
                <c:pt idx="56">
                  <c:v>8</c:v>
                </c:pt>
                <c:pt idx="57">
                  <c:v>4</c:v>
                </c:pt>
                <c:pt idx="58">
                  <c:v>7</c:v>
                </c:pt>
                <c:pt idx="59">
                  <c:v>6</c:v>
                </c:pt>
                <c:pt idx="60">
                  <c:v>2</c:v>
                </c:pt>
                <c:pt idx="61">
                  <c:v>6</c:v>
                </c:pt>
                <c:pt idx="62">
                  <c:v>5</c:v>
                </c:pt>
                <c:pt idx="63">
                  <c:v>5</c:v>
                </c:pt>
                <c:pt idx="64">
                  <c:v>5</c:v>
                </c:pt>
                <c:pt idx="65">
                  <c:v>4</c:v>
                </c:pt>
                <c:pt idx="66">
                  <c:v>5</c:v>
                </c:pt>
                <c:pt idx="67">
                  <c:v>6</c:v>
                </c:pt>
                <c:pt idx="68">
                  <c:v>8</c:v>
                </c:pt>
                <c:pt idx="69">
                  <c:v>2</c:v>
                </c:pt>
                <c:pt idx="70">
                  <c:v>8</c:v>
                </c:pt>
                <c:pt idx="71">
                  <c:v>6</c:v>
                </c:pt>
                <c:pt idx="72">
                  <c:v>7</c:v>
                </c:pt>
                <c:pt idx="73">
                  <c:v>8</c:v>
                </c:pt>
                <c:pt idx="74">
                  <c:v>7</c:v>
                </c:pt>
                <c:pt idx="75">
                  <c:v>2</c:v>
                </c:pt>
                <c:pt idx="76">
                  <c:v>6</c:v>
                </c:pt>
                <c:pt idx="77">
                  <c:v>2</c:v>
                </c:pt>
                <c:pt idx="78">
                  <c:v>1</c:v>
                </c:pt>
                <c:pt idx="79">
                  <c:v>2</c:v>
                </c:pt>
                <c:pt idx="80">
                  <c:v>6</c:v>
                </c:pt>
                <c:pt idx="81">
                  <c:v>4</c:v>
                </c:pt>
                <c:pt idx="82">
                  <c:v>6</c:v>
                </c:pt>
                <c:pt idx="83">
                  <c:v>8</c:v>
                </c:pt>
                <c:pt idx="84">
                  <c:v>4</c:v>
                </c:pt>
                <c:pt idx="85">
                  <c:v>1</c:v>
                </c:pt>
                <c:pt idx="86">
                  <c:v>5</c:v>
                </c:pt>
                <c:pt idx="87">
                  <c:v>4</c:v>
                </c:pt>
                <c:pt idx="88">
                  <c:v>1</c:v>
                </c:pt>
                <c:pt idx="89">
                  <c:v>4</c:v>
                </c:pt>
                <c:pt idx="90">
                  <c:v>7</c:v>
                </c:pt>
                <c:pt idx="91">
                  <c:v>1</c:v>
                </c:pt>
                <c:pt idx="92">
                  <c:v>5</c:v>
                </c:pt>
                <c:pt idx="93">
                  <c:v>3</c:v>
                </c:pt>
                <c:pt idx="94">
                  <c:v>1</c:v>
                </c:pt>
                <c:pt idx="95">
                  <c:v>5</c:v>
                </c:pt>
                <c:pt idx="96">
                  <c:v>6</c:v>
                </c:pt>
                <c:pt idx="97">
                  <c:v>2</c:v>
                </c:pt>
                <c:pt idx="98">
                  <c:v>7</c:v>
                </c:pt>
                <c:pt idx="99">
                  <c:v>2</c:v>
                </c:pt>
                <c:pt idx="100">
                  <c:v>6</c:v>
                </c:pt>
                <c:pt idx="101">
                  <c:v>7</c:v>
                </c:pt>
                <c:pt idx="102">
                  <c:v>5</c:v>
                </c:pt>
                <c:pt idx="103">
                  <c:v>2</c:v>
                </c:pt>
                <c:pt idx="104">
                  <c:v>1</c:v>
                </c:pt>
                <c:pt idx="105">
                  <c:v>5</c:v>
                </c:pt>
                <c:pt idx="106">
                  <c:v>3</c:v>
                </c:pt>
                <c:pt idx="107">
                  <c:v>2</c:v>
                </c:pt>
                <c:pt idx="108">
                  <c:v>3</c:v>
                </c:pt>
                <c:pt idx="109">
                  <c:v>3</c:v>
                </c:pt>
              </c:numCache>
            </c:numRef>
          </c:xVal>
          <c:yVal>
            <c:numRef>
              <c:f>'SCATTER PLOT'!$B$2:$B$111</c:f>
              <c:numCache>
                <c:formatCode>General</c:formatCode>
                <c:ptCount val="110"/>
                <c:pt idx="0">
                  <c:v>1958</c:v>
                </c:pt>
                <c:pt idx="1">
                  <c:v>2078</c:v>
                </c:pt>
                <c:pt idx="2">
                  <c:v>1445</c:v>
                </c:pt>
                <c:pt idx="3">
                  <c:v>2469</c:v>
                </c:pt>
                <c:pt idx="4">
                  <c:v>1105</c:v>
                </c:pt>
                <c:pt idx="5">
                  <c:v>2206</c:v>
                </c:pt>
                <c:pt idx="6">
                  <c:v>2848</c:v>
                </c:pt>
                <c:pt idx="7">
                  <c:v>1694</c:v>
                </c:pt>
                <c:pt idx="8">
                  <c:v>2024</c:v>
                </c:pt>
                <c:pt idx="9">
                  <c:v>2581</c:v>
                </c:pt>
                <c:pt idx="10">
                  <c:v>1457</c:v>
                </c:pt>
                <c:pt idx="11">
                  <c:v>2839</c:v>
                </c:pt>
                <c:pt idx="12">
                  <c:v>2592</c:v>
                </c:pt>
                <c:pt idx="13">
                  <c:v>642</c:v>
                </c:pt>
                <c:pt idx="14">
                  <c:v>2875</c:v>
                </c:pt>
                <c:pt idx="15">
                  <c:v>2922</c:v>
                </c:pt>
                <c:pt idx="16">
                  <c:v>2087</c:v>
                </c:pt>
                <c:pt idx="17">
                  <c:v>2299</c:v>
                </c:pt>
                <c:pt idx="18">
                  <c:v>2581</c:v>
                </c:pt>
                <c:pt idx="19">
                  <c:v>500</c:v>
                </c:pt>
                <c:pt idx="20">
                  <c:v>1952</c:v>
                </c:pt>
                <c:pt idx="21">
                  <c:v>2249</c:v>
                </c:pt>
                <c:pt idx="22">
                  <c:v>1873</c:v>
                </c:pt>
                <c:pt idx="23">
                  <c:v>1229</c:v>
                </c:pt>
                <c:pt idx="24">
                  <c:v>1676</c:v>
                </c:pt>
                <c:pt idx="25">
                  <c:v>1764</c:v>
                </c:pt>
                <c:pt idx="26">
                  <c:v>2411</c:v>
                </c:pt>
                <c:pt idx="27">
                  <c:v>2519</c:v>
                </c:pt>
                <c:pt idx="28">
                  <c:v>1524</c:v>
                </c:pt>
                <c:pt idx="29">
                  <c:v>2877</c:v>
                </c:pt>
                <c:pt idx="30">
                  <c:v>1089</c:v>
                </c:pt>
                <c:pt idx="31">
                  <c:v>1977</c:v>
                </c:pt>
                <c:pt idx="32">
                  <c:v>2220</c:v>
                </c:pt>
                <c:pt idx="33">
                  <c:v>2918</c:v>
                </c:pt>
                <c:pt idx="34">
                  <c:v>2964</c:v>
                </c:pt>
                <c:pt idx="35">
                  <c:v>2552</c:v>
                </c:pt>
                <c:pt idx="36">
                  <c:v>2430</c:v>
                </c:pt>
                <c:pt idx="37">
                  <c:v>2083</c:v>
                </c:pt>
                <c:pt idx="38">
                  <c:v>569</c:v>
                </c:pt>
                <c:pt idx="39">
                  <c:v>1331</c:v>
                </c:pt>
                <c:pt idx="40">
                  <c:v>1223</c:v>
                </c:pt>
                <c:pt idx="41">
                  <c:v>2952</c:v>
                </c:pt>
                <c:pt idx="42">
                  <c:v>2353</c:v>
                </c:pt>
                <c:pt idx="43">
                  <c:v>1961</c:v>
                </c:pt>
                <c:pt idx="44">
                  <c:v>754</c:v>
                </c:pt>
                <c:pt idx="45">
                  <c:v>2878</c:v>
                </c:pt>
                <c:pt idx="46">
                  <c:v>1733</c:v>
                </c:pt>
                <c:pt idx="47">
                  <c:v>699</c:v>
                </c:pt>
                <c:pt idx="48">
                  <c:v>1225</c:v>
                </c:pt>
                <c:pt idx="49">
                  <c:v>2666</c:v>
                </c:pt>
                <c:pt idx="50">
                  <c:v>1469</c:v>
                </c:pt>
                <c:pt idx="51">
                  <c:v>1132</c:v>
                </c:pt>
                <c:pt idx="52">
                  <c:v>908</c:v>
                </c:pt>
                <c:pt idx="53">
                  <c:v>2074</c:v>
                </c:pt>
                <c:pt idx="54">
                  <c:v>1265</c:v>
                </c:pt>
                <c:pt idx="55">
                  <c:v>1220</c:v>
                </c:pt>
                <c:pt idx="56">
                  <c:v>2667</c:v>
                </c:pt>
                <c:pt idx="57">
                  <c:v>820</c:v>
                </c:pt>
                <c:pt idx="58">
                  <c:v>1757</c:v>
                </c:pt>
                <c:pt idx="59">
                  <c:v>1463</c:v>
                </c:pt>
                <c:pt idx="60">
                  <c:v>1109</c:v>
                </c:pt>
                <c:pt idx="61">
                  <c:v>1740</c:v>
                </c:pt>
                <c:pt idx="62">
                  <c:v>542</c:v>
                </c:pt>
                <c:pt idx="63">
                  <c:v>2483</c:v>
                </c:pt>
                <c:pt idx="64">
                  <c:v>511</c:v>
                </c:pt>
                <c:pt idx="65">
                  <c:v>2759</c:v>
                </c:pt>
                <c:pt idx="66">
                  <c:v>1024</c:v>
                </c:pt>
                <c:pt idx="67">
                  <c:v>2050</c:v>
                </c:pt>
                <c:pt idx="68">
                  <c:v>1708</c:v>
                </c:pt>
                <c:pt idx="69">
                  <c:v>1809</c:v>
                </c:pt>
                <c:pt idx="70">
                  <c:v>1546</c:v>
                </c:pt>
                <c:pt idx="71">
                  <c:v>1835</c:v>
                </c:pt>
                <c:pt idx="72">
                  <c:v>1333</c:v>
                </c:pt>
                <c:pt idx="73">
                  <c:v>2737</c:v>
                </c:pt>
                <c:pt idx="74">
                  <c:v>542</c:v>
                </c:pt>
                <c:pt idx="75">
                  <c:v>1079</c:v>
                </c:pt>
                <c:pt idx="76">
                  <c:v>2330</c:v>
                </c:pt>
                <c:pt idx="77">
                  <c:v>700</c:v>
                </c:pt>
                <c:pt idx="78">
                  <c:v>2711</c:v>
                </c:pt>
                <c:pt idx="79">
                  <c:v>1388</c:v>
                </c:pt>
                <c:pt idx="80">
                  <c:v>1906</c:v>
                </c:pt>
                <c:pt idx="81">
                  <c:v>2314</c:v>
                </c:pt>
                <c:pt idx="82">
                  <c:v>2036</c:v>
                </c:pt>
                <c:pt idx="83">
                  <c:v>2725</c:v>
                </c:pt>
                <c:pt idx="84">
                  <c:v>1992</c:v>
                </c:pt>
                <c:pt idx="85">
                  <c:v>2608</c:v>
                </c:pt>
                <c:pt idx="86">
                  <c:v>1026</c:v>
                </c:pt>
                <c:pt idx="87">
                  <c:v>1022</c:v>
                </c:pt>
                <c:pt idx="88">
                  <c:v>2640</c:v>
                </c:pt>
                <c:pt idx="89">
                  <c:v>2950</c:v>
                </c:pt>
                <c:pt idx="90">
                  <c:v>1495</c:v>
                </c:pt>
                <c:pt idx="91">
                  <c:v>2157</c:v>
                </c:pt>
                <c:pt idx="92">
                  <c:v>2134</c:v>
                </c:pt>
                <c:pt idx="93">
                  <c:v>1013</c:v>
                </c:pt>
                <c:pt idx="94">
                  <c:v>1297</c:v>
                </c:pt>
                <c:pt idx="95">
                  <c:v>1245</c:v>
                </c:pt>
                <c:pt idx="96">
                  <c:v>2800</c:v>
                </c:pt>
                <c:pt idx="97">
                  <c:v>1221</c:v>
                </c:pt>
                <c:pt idx="98">
                  <c:v>944</c:v>
                </c:pt>
                <c:pt idx="99">
                  <c:v>1186</c:v>
                </c:pt>
                <c:pt idx="100">
                  <c:v>2865</c:v>
                </c:pt>
                <c:pt idx="101">
                  <c:v>1650</c:v>
                </c:pt>
                <c:pt idx="102">
                  <c:v>2338</c:v>
                </c:pt>
                <c:pt idx="103">
                  <c:v>2961</c:v>
                </c:pt>
                <c:pt idx="104">
                  <c:v>2581</c:v>
                </c:pt>
                <c:pt idx="105">
                  <c:v>2929</c:v>
                </c:pt>
                <c:pt idx="106">
                  <c:v>1632</c:v>
                </c:pt>
                <c:pt idx="107">
                  <c:v>2499</c:v>
                </c:pt>
                <c:pt idx="108">
                  <c:v>2643</c:v>
                </c:pt>
                <c:pt idx="109">
                  <c:v>2871</c:v>
                </c:pt>
              </c:numCache>
            </c:numRef>
          </c:yVal>
          <c:smooth val="0"/>
          <c:extLst>
            <c:ext xmlns:c16="http://schemas.microsoft.com/office/drawing/2014/chart" uri="{C3380CC4-5D6E-409C-BE32-E72D297353CC}">
              <c16:uniqueId val="{00000000-0D2D-4289-8CFB-56C43BF6C701}"/>
            </c:ext>
          </c:extLst>
        </c:ser>
        <c:dLbls>
          <c:showLegendKey val="0"/>
          <c:showVal val="0"/>
          <c:showCatName val="0"/>
          <c:showSerName val="0"/>
          <c:showPercent val="0"/>
          <c:showBubbleSize val="0"/>
        </c:dLbls>
        <c:axId val="398948911"/>
        <c:axId val="398949871"/>
      </c:scatterChart>
      <c:valAx>
        <c:axId val="398948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949871"/>
        <c:crosses val="autoZero"/>
        <c:crossBetween val="midCat"/>
      </c:valAx>
      <c:valAx>
        <c:axId val="39894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94891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Relationship</a:t>
            </a:r>
            <a:r>
              <a:rPr lang="en-US" baseline="0"/>
              <a:t> between quantity and price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PLOT'!$B$1</c:f>
              <c:strCache>
                <c:ptCount val="1"/>
                <c:pt idx="0">
                  <c:v>Price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'SCATTER PLOT'!$A$2:$A$111</c:f>
              <c:numCache>
                <c:formatCode>General</c:formatCode>
                <c:ptCount val="110"/>
                <c:pt idx="0">
                  <c:v>5</c:v>
                </c:pt>
                <c:pt idx="1">
                  <c:v>1</c:v>
                </c:pt>
                <c:pt idx="2">
                  <c:v>2</c:v>
                </c:pt>
                <c:pt idx="3">
                  <c:v>6</c:v>
                </c:pt>
                <c:pt idx="4">
                  <c:v>6</c:v>
                </c:pt>
                <c:pt idx="5">
                  <c:v>4</c:v>
                </c:pt>
                <c:pt idx="6">
                  <c:v>4</c:v>
                </c:pt>
                <c:pt idx="7">
                  <c:v>8</c:v>
                </c:pt>
                <c:pt idx="8">
                  <c:v>1</c:v>
                </c:pt>
                <c:pt idx="9">
                  <c:v>6</c:v>
                </c:pt>
                <c:pt idx="10">
                  <c:v>5</c:v>
                </c:pt>
                <c:pt idx="11">
                  <c:v>1</c:v>
                </c:pt>
                <c:pt idx="12">
                  <c:v>5</c:v>
                </c:pt>
                <c:pt idx="13">
                  <c:v>8</c:v>
                </c:pt>
                <c:pt idx="14">
                  <c:v>2</c:v>
                </c:pt>
                <c:pt idx="15">
                  <c:v>8</c:v>
                </c:pt>
                <c:pt idx="16">
                  <c:v>8</c:v>
                </c:pt>
                <c:pt idx="17">
                  <c:v>3</c:v>
                </c:pt>
                <c:pt idx="18">
                  <c:v>2</c:v>
                </c:pt>
                <c:pt idx="19">
                  <c:v>4</c:v>
                </c:pt>
                <c:pt idx="20">
                  <c:v>3</c:v>
                </c:pt>
                <c:pt idx="21">
                  <c:v>3</c:v>
                </c:pt>
                <c:pt idx="22">
                  <c:v>2</c:v>
                </c:pt>
                <c:pt idx="23">
                  <c:v>7</c:v>
                </c:pt>
                <c:pt idx="24">
                  <c:v>7</c:v>
                </c:pt>
                <c:pt idx="25">
                  <c:v>1</c:v>
                </c:pt>
                <c:pt idx="26">
                  <c:v>4</c:v>
                </c:pt>
                <c:pt idx="27">
                  <c:v>2</c:v>
                </c:pt>
                <c:pt idx="28">
                  <c:v>6</c:v>
                </c:pt>
                <c:pt idx="29">
                  <c:v>5</c:v>
                </c:pt>
                <c:pt idx="30">
                  <c:v>2</c:v>
                </c:pt>
                <c:pt idx="31">
                  <c:v>2</c:v>
                </c:pt>
                <c:pt idx="32">
                  <c:v>8</c:v>
                </c:pt>
                <c:pt idx="33">
                  <c:v>6</c:v>
                </c:pt>
                <c:pt idx="34">
                  <c:v>2</c:v>
                </c:pt>
                <c:pt idx="35">
                  <c:v>4</c:v>
                </c:pt>
                <c:pt idx="36">
                  <c:v>1</c:v>
                </c:pt>
                <c:pt idx="37">
                  <c:v>5</c:v>
                </c:pt>
                <c:pt idx="38">
                  <c:v>1</c:v>
                </c:pt>
                <c:pt idx="39">
                  <c:v>3</c:v>
                </c:pt>
                <c:pt idx="40">
                  <c:v>4</c:v>
                </c:pt>
                <c:pt idx="41">
                  <c:v>4</c:v>
                </c:pt>
                <c:pt idx="42">
                  <c:v>4</c:v>
                </c:pt>
                <c:pt idx="43">
                  <c:v>3</c:v>
                </c:pt>
                <c:pt idx="44">
                  <c:v>8</c:v>
                </c:pt>
                <c:pt idx="45">
                  <c:v>6</c:v>
                </c:pt>
                <c:pt idx="46">
                  <c:v>5</c:v>
                </c:pt>
                <c:pt idx="47">
                  <c:v>3</c:v>
                </c:pt>
                <c:pt idx="48">
                  <c:v>3</c:v>
                </c:pt>
                <c:pt idx="49">
                  <c:v>1</c:v>
                </c:pt>
                <c:pt idx="50">
                  <c:v>1</c:v>
                </c:pt>
                <c:pt idx="51">
                  <c:v>4</c:v>
                </c:pt>
                <c:pt idx="52">
                  <c:v>3</c:v>
                </c:pt>
                <c:pt idx="53">
                  <c:v>4</c:v>
                </c:pt>
                <c:pt idx="54">
                  <c:v>8</c:v>
                </c:pt>
                <c:pt idx="55">
                  <c:v>7</c:v>
                </c:pt>
                <c:pt idx="56">
                  <c:v>8</c:v>
                </c:pt>
                <c:pt idx="57">
                  <c:v>4</c:v>
                </c:pt>
                <c:pt idx="58">
                  <c:v>7</c:v>
                </c:pt>
                <c:pt idx="59">
                  <c:v>6</c:v>
                </c:pt>
                <c:pt idx="60">
                  <c:v>2</c:v>
                </c:pt>
                <c:pt idx="61">
                  <c:v>6</c:v>
                </c:pt>
                <c:pt idx="62">
                  <c:v>5</c:v>
                </c:pt>
                <c:pt idx="63">
                  <c:v>5</c:v>
                </c:pt>
                <c:pt idx="64">
                  <c:v>5</c:v>
                </c:pt>
                <c:pt idx="65">
                  <c:v>4</c:v>
                </c:pt>
                <c:pt idx="66">
                  <c:v>5</c:v>
                </c:pt>
                <c:pt idx="67">
                  <c:v>6</c:v>
                </c:pt>
                <c:pt idx="68">
                  <c:v>8</c:v>
                </c:pt>
                <c:pt idx="69">
                  <c:v>2</c:v>
                </c:pt>
                <c:pt idx="70">
                  <c:v>8</c:v>
                </c:pt>
                <c:pt idx="71">
                  <c:v>6</c:v>
                </c:pt>
                <c:pt idx="72">
                  <c:v>7</c:v>
                </c:pt>
                <c:pt idx="73">
                  <c:v>8</c:v>
                </c:pt>
                <c:pt idx="74">
                  <c:v>7</c:v>
                </c:pt>
                <c:pt idx="75">
                  <c:v>2</c:v>
                </c:pt>
                <c:pt idx="76">
                  <c:v>6</c:v>
                </c:pt>
                <c:pt idx="77">
                  <c:v>2</c:v>
                </c:pt>
                <c:pt idx="78">
                  <c:v>1</c:v>
                </c:pt>
                <c:pt idx="79">
                  <c:v>2</c:v>
                </c:pt>
                <c:pt idx="80">
                  <c:v>6</c:v>
                </c:pt>
                <c:pt idx="81">
                  <c:v>4</c:v>
                </c:pt>
                <c:pt idx="82">
                  <c:v>6</c:v>
                </c:pt>
                <c:pt idx="83">
                  <c:v>8</c:v>
                </c:pt>
                <c:pt idx="84">
                  <c:v>4</c:v>
                </c:pt>
                <c:pt idx="85">
                  <c:v>1</c:v>
                </c:pt>
                <c:pt idx="86">
                  <c:v>5</c:v>
                </c:pt>
                <c:pt idx="87">
                  <c:v>4</c:v>
                </c:pt>
                <c:pt idx="88">
                  <c:v>1</c:v>
                </c:pt>
                <c:pt idx="89">
                  <c:v>4</c:v>
                </c:pt>
                <c:pt idx="90">
                  <c:v>7</c:v>
                </c:pt>
                <c:pt idx="91">
                  <c:v>1</c:v>
                </c:pt>
                <c:pt idx="92">
                  <c:v>5</c:v>
                </c:pt>
                <c:pt idx="93">
                  <c:v>3</c:v>
                </c:pt>
                <c:pt idx="94">
                  <c:v>1</c:v>
                </c:pt>
                <c:pt idx="95">
                  <c:v>5</c:v>
                </c:pt>
                <c:pt idx="96">
                  <c:v>6</c:v>
                </c:pt>
                <c:pt idx="97">
                  <c:v>2</c:v>
                </c:pt>
                <c:pt idx="98">
                  <c:v>7</c:v>
                </c:pt>
                <c:pt idx="99">
                  <c:v>2</c:v>
                </c:pt>
                <c:pt idx="100">
                  <c:v>6</c:v>
                </c:pt>
                <c:pt idx="101">
                  <c:v>7</c:v>
                </c:pt>
                <c:pt idx="102">
                  <c:v>5</c:v>
                </c:pt>
                <c:pt idx="103">
                  <c:v>2</c:v>
                </c:pt>
                <c:pt idx="104">
                  <c:v>1</c:v>
                </c:pt>
                <c:pt idx="105">
                  <c:v>5</c:v>
                </c:pt>
                <c:pt idx="106">
                  <c:v>3</c:v>
                </c:pt>
                <c:pt idx="107">
                  <c:v>2</c:v>
                </c:pt>
                <c:pt idx="108">
                  <c:v>3</c:v>
                </c:pt>
                <c:pt idx="109">
                  <c:v>3</c:v>
                </c:pt>
              </c:numCache>
            </c:numRef>
          </c:xVal>
          <c:yVal>
            <c:numRef>
              <c:f>'SCATTER PLOT'!$B$2:$B$111</c:f>
              <c:numCache>
                <c:formatCode>General</c:formatCode>
                <c:ptCount val="110"/>
                <c:pt idx="0">
                  <c:v>1958</c:v>
                </c:pt>
                <c:pt idx="1">
                  <c:v>2078</c:v>
                </c:pt>
                <c:pt idx="2">
                  <c:v>1445</c:v>
                </c:pt>
                <c:pt idx="3">
                  <c:v>2469</c:v>
                </c:pt>
                <c:pt idx="4">
                  <c:v>1105</c:v>
                </c:pt>
                <c:pt idx="5">
                  <c:v>2206</c:v>
                </c:pt>
                <c:pt idx="6">
                  <c:v>2848</c:v>
                </c:pt>
                <c:pt idx="7">
                  <c:v>1694</c:v>
                </c:pt>
                <c:pt idx="8">
                  <c:v>2024</c:v>
                </c:pt>
                <c:pt idx="9">
                  <c:v>2581</c:v>
                </c:pt>
                <c:pt idx="10">
                  <c:v>1457</c:v>
                </c:pt>
                <c:pt idx="11">
                  <c:v>2839</c:v>
                </c:pt>
                <c:pt idx="12">
                  <c:v>2592</c:v>
                </c:pt>
                <c:pt idx="13">
                  <c:v>642</c:v>
                </c:pt>
                <c:pt idx="14">
                  <c:v>2875</c:v>
                </c:pt>
                <c:pt idx="15">
                  <c:v>2922</c:v>
                </c:pt>
                <c:pt idx="16">
                  <c:v>2087</c:v>
                </c:pt>
                <c:pt idx="17">
                  <c:v>2299</c:v>
                </c:pt>
                <c:pt idx="18">
                  <c:v>2581</c:v>
                </c:pt>
                <c:pt idx="19">
                  <c:v>500</c:v>
                </c:pt>
                <c:pt idx="20">
                  <c:v>1952</c:v>
                </c:pt>
                <c:pt idx="21">
                  <c:v>2249</c:v>
                </c:pt>
                <c:pt idx="22">
                  <c:v>1873</c:v>
                </c:pt>
                <c:pt idx="23">
                  <c:v>1229</c:v>
                </c:pt>
                <c:pt idx="24">
                  <c:v>1676</c:v>
                </c:pt>
                <c:pt idx="25">
                  <c:v>1764</c:v>
                </c:pt>
                <c:pt idx="26">
                  <c:v>2411</c:v>
                </c:pt>
                <c:pt idx="27">
                  <c:v>2519</c:v>
                </c:pt>
                <c:pt idx="28">
                  <c:v>1524</c:v>
                </c:pt>
                <c:pt idx="29">
                  <c:v>2877</c:v>
                </c:pt>
                <c:pt idx="30">
                  <c:v>1089</c:v>
                </c:pt>
                <c:pt idx="31">
                  <c:v>1977</c:v>
                </c:pt>
                <c:pt idx="32">
                  <c:v>2220</c:v>
                </c:pt>
                <c:pt idx="33">
                  <c:v>2918</c:v>
                </c:pt>
                <c:pt idx="34">
                  <c:v>2964</c:v>
                </c:pt>
                <c:pt idx="35">
                  <c:v>2552</c:v>
                </c:pt>
                <c:pt idx="36">
                  <c:v>2430</c:v>
                </c:pt>
                <c:pt idx="37">
                  <c:v>2083</c:v>
                </c:pt>
                <c:pt idx="38">
                  <c:v>569</c:v>
                </c:pt>
                <c:pt idx="39">
                  <c:v>1331</c:v>
                </c:pt>
                <c:pt idx="40">
                  <c:v>1223</c:v>
                </c:pt>
                <c:pt idx="41">
                  <c:v>2952</c:v>
                </c:pt>
                <c:pt idx="42">
                  <c:v>2353</c:v>
                </c:pt>
                <c:pt idx="43">
                  <c:v>1961</c:v>
                </c:pt>
                <c:pt idx="44">
                  <c:v>754</c:v>
                </c:pt>
                <c:pt idx="45">
                  <c:v>2878</c:v>
                </c:pt>
                <c:pt idx="46">
                  <c:v>1733</c:v>
                </c:pt>
                <c:pt idx="47">
                  <c:v>699</c:v>
                </c:pt>
                <c:pt idx="48">
                  <c:v>1225</c:v>
                </c:pt>
                <c:pt idx="49">
                  <c:v>2666</c:v>
                </c:pt>
                <c:pt idx="50">
                  <c:v>1469</c:v>
                </c:pt>
                <c:pt idx="51">
                  <c:v>1132</c:v>
                </c:pt>
                <c:pt idx="52">
                  <c:v>908</c:v>
                </c:pt>
                <c:pt idx="53">
                  <c:v>2074</c:v>
                </c:pt>
                <c:pt idx="54">
                  <c:v>1265</c:v>
                </c:pt>
                <c:pt idx="55">
                  <c:v>1220</c:v>
                </c:pt>
                <c:pt idx="56">
                  <c:v>2667</c:v>
                </c:pt>
                <c:pt idx="57">
                  <c:v>820</c:v>
                </c:pt>
                <c:pt idx="58">
                  <c:v>1757</c:v>
                </c:pt>
                <c:pt idx="59">
                  <c:v>1463</c:v>
                </c:pt>
                <c:pt idx="60">
                  <c:v>1109</c:v>
                </c:pt>
                <c:pt idx="61">
                  <c:v>1740</c:v>
                </c:pt>
                <c:pt idx="62">
                  <c:v>542</c:v>
                </c:pt>
                <c:pt idx="63">
                  <c:v>2483</c:v>
                </c:pt>
                <c:pt idx="64">
                  <c:v>511</c:v>
                </c:pt>
                <c:pt idx="65">
                  <c:v>2759</c:v>
                </c:pt>
                <c:pt idx="66">
                  <c:v>1024</c:v>
                </c:pt>
                <c:pt idx="67">
                  <c:v>2050</c:v>
                </c:pt>
                <c:pt idx="68">
                  <c:v>1708</c:v>
                </c:pt>
                <c:pt idx="69">
                  <c:v>1809</c:v>
                </c:pt>
                <c:pt idx="70">
                  <c:v>1546</c:v>
                </c:pt>
                <c:pt idx="71">
                  <c:v>1835</c:v>
                </c:pt>
                <c:pt idx="72">
                  <c:v>1333</c:v>
                </c:pt>
                <c:pt idx="73">
                  <c:v>2737</c:v>
                </c:pt>
                <c:pt idx="74">
                  <c:v>542</c:v>
                </c:pt>
                <c:pt idx="75">
                  <c:v>1079</c:v>
                </c:pt>
                <c:pt idx="76">
                  <c:v>2330</c:v>
                </c:pt>
                <c:pt idx="77">
                  <c:v>700</c:v>
                </c:pt>
                <c:pt idx="78">
                  <c:v>2711</c:v>
                </c:pt>
                <c:pt idx="79">
                  <c:v>1388</c:v>
                </c:pt>
                <c:pt idx="80">
                  <c:v>1906</c:v>
                </c:pt>
                <c:pt idx="81">
                  <c:v>2314</c:v>
                </c:pt>
                <c:pt idx="82">
                  <c:v>2036</c:v>
                </c:pt>
                <c:pt idx="83">
                  <c:v>2725</c:v>
                </c:pt>
                <c:pt idx="84">
                  <c:v>1992</c:v>
                </c:pt>
                <c:pt idx="85">
                  <c:v>2608</c:v>
                </c:pt>
                <c:pt idx="86">
                  <c:v>1026</c:v>
                </c:pt>
                <c:pt idx="87">
                  <c:v>1022</c:v>
                </c:pt>
                <c:pt idx="88">
                  <c:v>2640</c:v>
                </c:pt>
                <c:pt idx="89">
                  <c:v>2950</c:v>
                </c:pt>
                <c:pt idx="90">
                  <c:v>1495</c:v>
                </c:pt>
                <c:pt idx="91">
                  <c:v>2157</c:v>
                </c:pt>
                <c:pt idx="92">
                  <c:v>2134</c:v>
                </c:pt>
                <c:pt idx="93">
                  <c:v>1013</c:v>
                </c:pt>
                <c:pt idx="94">
                  <c:v>1297</c:v>
                </c:pt>
                <c:pt idx="95">
                  <c:v>1245</c:v>
                </c:pt>
                <c:pt idx="96">
                  <c:v>2800</c:v>
                </c:pt>
                <c:pt idx="97">
                  <c:v>1221</c:v>
                </c:pt>
                <c:pt idx="98">
                  <c:v>944</c:v>
                </c:pt>
                <c:pt idx="99">
                  <c:v>1186</c:v>
                </c:pt>
                <c:pt idx="100">
                  <c:v>2865</c:v>
                </c:pt>
                <c:pt idx="101">
                  <c:v>1650</c:v>
                </c:pt>
                <c:pt idx="102">
                  <c:v>2338</c:v>
                </c:pt>
                <c:pt idx="103">
                  <c:v>2961</c:v>
                </c:pt>
                <c:pt idx="104">
                  <c:v>2581</c:v>
                </c:pt>
                <c:pt idx="105">
                  <c:v>2929</c:v>
                </c:pt>
                <c:pt idx="106">
                  <c:v>1632</c:v>
                </c:pt>
                <c:pt idx="107">
                  <c:v>2499</c:v>
                </c:pt>
                <c:pt idx="108">
                  <c:v>2643</c:v>
                </c:pt>
                <c:pt idx="109">
                  <c:v>2871</c:v>
                </c:pt>
              </c:numCache>
            </c:numRef>
          </c:yVal>
          <c:smooth val="0"/>
          <c:extLst>
            <c:ext xmlns:c16="http://schemas.microsoft.com/office/drawing/2014/chart" uri="{C3380CC4-5D6E-409C-BE32-E72D297353CC}">
              <c16:uniqueId val="{00000000-F3C3-4931-B8D7-F175CA12F4D2}"/>
            </c:ext>
          </c:extLst>
        </c:ser>
        <c:dLbls>
          <c:showLegendKey val="0"/>
          <c:showVal val="0"/>
          <c:showCatName val="0"/>
          <c:showSerName val="0"/>
          <c:showPercent val="0"/>
          <c:showBubbleSize val="0"/>
        </c:dLbls>
        <c:axId val="398948911"/>
        <c:axId val="398949871"/>
      </c:scatterChart>
      <c:valAx>
        <c:axId val="398948911"/>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8949871"/>
        <c:crosses val="autoZero"/>
        <c:crossBetween val="midCat"/>
      </c:valAx>
      <c:valAx>
        <c:axId val="39894987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8948911"/>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[final.xlsx]pie chart!PivotTable3</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share</a:t>
            </a:r>
            <a:r>
              <a:rPr lang="en-US" baseline="0"/>
              <a:t> of sales profit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3888888888888888E-2"/>
              <c:y val="-0.2407407407407408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2777777777777777"/>
              <c:y val="4.16666666666666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33333333333333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055555555555558E-2"/>
          <c:y val="0.25828776611256926"/>
          <c:w val="0.81388888888888888"/>
          <c:h val="0.57745005832604257"/>
        </c:manualLayout>
      </c:layout>
      <c:pie3DChart>
        <c:varyColors val="1"/>
        <c:ser>
          <c:idx val="0"/>
          <c:order val="0"/>
          <c:tx>
            <c:strRef>
              <c:f>'pie chart'!$B$3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F28-43A8-98DC-A1638CAB3925}"/>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7F28-43A8-98DC-A1638CAB3925}"/>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7F28-43A8-98DC-A1638CAB3925}"/>
              </c:ext>
            </c:extLst>
          </c:dPt>
          <c:dLbls>
            <c:dLbl>
              <c:idx val="0"/>
              <c:layout>
                <c:manualLayout>
                  <c:x val="-0.12777777777777777"/>
                  <c:y val="4.166666666666662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F28-43A8-98DC-A1638CAB3925}"/>
                </c:ext>
              </c:extLst>
            </c:dLbl>
            <c:dLbl>
              <c:idx val="1"/>
              <c:layout>
                <c:manualLayout>
                  <c:x val="-1.3888888888888888E-2"/>
                  <c:y val="-0.2407407407407408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F28-43A8-98DC-A1638CAB3925}"/>
                </c:ext>
              </c:extLst>
            </c:dLbl>
            <c:dLbl>
              <c:idx val="2"/>
              <c:layout>
                <c:manualLayout>
                  <c:x val="0.13333333333333333"/>
                  <c:y val="3.70370370370370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F28-43A8-98DC-A1638CAB392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Kids</c:v>
                </c:pt>
                <c:pt idx="1">
                  <c:v>Men</c:v>
                </c:pt>
                <c:pt idx="2">
                  <c:v>Women</c:v>
                </c:pt>
              </c:strCache>
            </c:strRef>
          </c:cat>
          <c:val>
            <c:numRef>
              <c:f>'pie chart'!$B$4:$B$7</c:f>
              <c:numCache>
                <c:formatCode>General</c:formatCode>
                <c:ptCount val="3"/>
                <c:pt idx="0">
                  <c:v>120021.19999999998</c:v>
                </c:pt>
                <c:pt idx="1">
                  <c:v>106852.8</c:v>
                </c:pt>
                <c:pt idx="2">
                  <c:v>124918.79999999994</c:v>
                </c:pt>
              </c:numCache>
            </c:numRef>
          </c:val>
          <c:extLst>
            <c:ext xmlns:c16="http://schemas.microsoft.com/office/drawing/2014/chart" uri="{C3380CC4-5D6E-409C-BE32-E72D297353CC}">
              <c16:uniqueId val="{00000000-7F28-43A8-98DC-A1638CAB3925}"/>
            </c:ext>
          </c:extLst>
        </c:ser>
        <c:dLbls>
          <c:dLblPos val="outEnd"/>
          <c:showLegendKey val="0"/>
          <c:showVal val="0"/>
          <c:showCatName val="1"/>
          <c:showSerName val="0"/>
          <c:showPercent val="0"/>
          <c:showBubbleSize val="0"/>
          <c:showLeaderLines val="1"/>
        </c:dLbls>
      </c:pie3DChart>
      <c:spPr>
        <a:noFill/>
        <a:ln>
          <a:noFill/>
        </a:ln>
        <a:effectLst>
          <a:outerShdw blurRad="63500" sx="102000" sy="102000" algn="ctr"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1104900</xdr:colOff>
      <xdr:row>0</xdr:row>
      <xdr:rowOff>114300</xdr:rowOff>
    </xdr:from>
    <xdr:to>
      <xdr:col>10</xdr:col>
      <xdr:colOff>251460</xdr:colOff>
      <xdr:row>15</xdr:row>
      <xdr:rowOff>114300</xdr:rowOff>
    </xdr:to>
    <xdr:graphicFrame macro="">
      <xdr:nvGraphicFramePr>
        <xdr:cNvPr id="2" name="Chart 1">
          <a:extLst>
            <a:ext uri="{FF2B5EF4-FFF2-40B4-BE49-F238E27FC236}">
              <a16:creationId xmlns:a16="http://schemas.microsoft.com/office/drawing/2014/main" id="{6D746F64-78D2-FECE-3826-BC6E178122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8</xdr:row>
      <xdr:rowOff>7620</xdr:rowOff>
    </xdr:from>
    <xdr:to>
      <xdr:col>5</xdr:col>
      <xdr:colOff>198120</xdr:colOff>
      <xdr:row>22</xdr:row>
      <xdr:rowOff>22860</xdr:rowOff>
    </xdr:to>
    <xdr:graphicFrame macro="">
      <xdr:nvGraphicFramePr>
        <xdr:cNvPr id="2" name="Chart 1">
          <a:extLst>
            <a:ext uri="{FF2B5EF4-FFF2-40B4-BE49-F238E27FC236}">
              <a16:creationId xmlns:a16="http://schemas.microsoft.com/office/drawing/2014/main" id="{2A25565D-F656-6A2E-6DF6-2C045BFDF3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373380</xdr:colOff>
      <xdr:row>74</xdr:row>
      <xdr:rowOff>80010</xdr:rowOff>
    </xdr:from>
    <xdr:to>
      <xdr:col>11</xdr:col>
      <xdr:colOff>68580</xdr:colOff>
      <xdr:row>89</xdr:row>
      <xdr:rowOff>80010</xdr:rowOff>
    </xdr:to>
    <xdr:graphicFrame macro="">
      <xdr:nvGraphicFramePr>
        <xdr:cNvPr id="3" name="Chart 2">
          <a:extLst>
            <a:ext uri="{FF2B5EF4-FFF2-40B4-BE49-F238E27FC236}">
              <a16:creationId xmlns:a16="http://schemas.microsoft.com/office/drawing/2014/main" id="{454CE9EA-37CD-69DD-3B4A-17D479D47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xdr:row>
      <xdr:rowOff>0</xdr:rowOff>
    </xdr:from>
    <xdr:to>
      <xdr:col>11</xdr:col>
      <xdr:colOff>304800</xdr:colOff>
      <xdr:row>17</xdr:row>
      <xdr:rowOff>0</xdr:rowOff>
    </xdr:to>
    <xdr:graphicFrame macro="">
      <xdr:nvGraphicFramePr>
        <xdr:cNvPr id="4" name="Chart 3">
          <a:extLst>
            <a:ext uri="{FF2B5EF4-FFF2-40B4-BE49-F238E27FC236}">
              <a16:creationId xmlns:a16="http://schemas.microsoft.com/office/drawing/2014/main" id="{EDB8EDF7-AA32-45AF-A2A4-FD07A9E8A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876300</xdr:colOff>
      <xdr:row>2</xdr:row>
      <xdr:rowOff>156210</xdr:rowOff>
    </xdr:from>
    <xdr:to>
      <xdr:col>10</xdr:col>
      <xdr:colOff>22860</xdr:colOff>
      <xdr:row>17</xdr:row>
      <xdr:rowOff>156210</xdr:rowOff>
    </xdr:to>
    <xdr:graphicFrame macro="">
      <xdr:nvGraphicFramePr>
        <xdr:cNvPr id="2" name="Chart 1">
          <a:extLst>
            <a:ext uri="{FF2B5EF4-FFF2-40B4-BE49-F238E27FC236}">
              <a16:creationId xmlns:a16="http://schemas.microsoft.com/office/drawing/2014/main" id="{2D1F767D-064B-2E36-F58B-0AD949A883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aj Gupta" refreshedDate="45887.66898101852" backgroundQuery="1" createdVersion="8" refreshedVersion="8" minRefreshableVersion="3" recordCount="0" supportSubquery="1" supportAdvancedDrill="1" xr:uid="{03FB3C8F-A7E7-403B-B433-C0268F4830E9}">
  <cacheSource type="external" connectionId="1"/>
  <cacheFields count="2">
    <cacheField name="[Measures].[Sum of Sales Profit]" caption="Sum of Sales Profit" numFmtId="0" hierarchy="10" level="32767"/>
    <cacheField name="[Table1].[Category].[Category]" caption="Category" numFmtId="0" level="1">
      <sharedItems count="3">
        <s v="Kids"/>
        <s v="Men"/>
        <s v="Women"/>
      </sharedItems>
    </cacheField>
  </cacheFields>
  <cacheHierarchies count="11">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taff Count]" caption="Staff Count" attribute="1" defaultMemberUniqueName="[Table1].[Staff Count].[All]" allUniqueName="[Table1].[Staff Count].[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20" unbalanced="0"/>
    <cacheHierarchy uniqueName="[Table1].[Price]" caption="Price" attribute="1" defaultMemberUniqueName="[Table1].[Price].[All]" allUniqueName="[Table1].[Price].[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Sales Profit]" caption="Sales Profit" attribute="1" defaultMemberUniqueName="[Table1].[Sales Profit].[All]" allUniqueName="[Table1].[Sales Profi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Table1" count="0" hidden="1">
      <extLst>
        <ext xmlns:x15="http://schemas.microsoft.com/office/spreadsheetml/2010/11/main" uri="{B97F6D7D-B522-45F9-BDA1-12C45D357490}">
          <x15:cacheHierarchy aggregatedColumn="4"/>
        </ext>
      </extLst>
    </cacheHierarchy>
    <cacheHierarchy uniqueName="[Measures].[Sum of Sales Profit]" caption="Sum of Sales Profit"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kaj Gupta" refreshedDate="45887.675662384259" createdVersion="8" refreshedVersion="8" minRefreshableVersion="3" recordCount="110" xr:uid="{4289F882-69D7-4F41-A649-C7AA0A4982FB}">
  <cacheSource type="worksheet">
    <worksheetSource name="Table1"/>
  </cacheSource>
  <cacheFields count="7">
    <cacheField name="Category" numFmtId="0">
      <sharedItems count="3">
        <s v="Women"/>
        <s v="Kids"/>
        <s v="Men"/>
      </sharedItems>
    </cacheField>
    <cacheField name="Staff Count" numFmtId="0">
      <sharedItems containsSemiMixedTypes="0" containsString="0" containsNumber="1" containsInteger="1" minValue="3" maxValue="20"/>
    </cacheField>
    <cacheField name="Customer Name" numFmtId="0">
      <sharedItems/>
    </cacheField>
    <cacheField name="Product ID" numFmtId="0">
      <sharedItems containsSemiMixedTypes="0" containsString="0" containsNumber="1" containsInteger="1" minValue="206" maxValue="993"/>
    </cacheField>
    <cacheField name="Price" numFmtId="0">
      <sharedItems containsSemiMixedTypes="0" containsString="0" containsNumber="1" containsInteger="1" minValue="500" maxValue="2964"/>
    </cacheField>
    <cacheField name="Quantity" numFmtId="0">
      <sharedItems containsSemiMixedTypes="0" containsString="0" containsNumber="1" containsInteger="1" minValue="1" maxValue="8"/>
    </cacheField>
    <cacheField name="Sales Profit" numFmtId="0">
      <sharedItems containsSemiMixedTypes="0" containsString="0" containsNumber="1" minValue="227.6" maxValue="935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
  <r>
    <x v="0"/>
    <n v="17"/>
    <s v="Michele Ochoa"/>
    <n v="354"/>
    <n v="1958"/>
    <n v="5"/>
    <n v="3916"/>
  </r>
  <r>
    <x v="1"/>
    <n v="6"/>
    <s v="Daniel Jimenez"/>
    <n v="741"/>
    <n v="2078"/>
    <n v="1"/>
    <n v="831.2"/>
  </r>
  <r>
    <x v="2"/>
    <n v="18"/>
    <s v="Steven Davis"/>
    <n v="607"/>
    <n v="1445"/>
    <n v="2"/>
    <n v="1156"/>
  </r>
  <r>
    <x v="0"/>
    <n v="13"/>
    <s v="Derek Orozco"/>
    <n v="991"/>
    <n v="2469"/>
    <n v="6"/>
    <n v="5925.6"/>
  </r>
  <r>
    <x v="2"/>
    <n v="19"/>
    <s v="Victor Arnold"/>
    <n v="479"/>
    <n v="1105"/>
    <n v="6"/>
    <n v="2652"/>
  </r>
  <r>
    <x v="1"/>
    <n v="14"/>
    <s v="James Bennett"/>
    <n v="295"/>
    <n v="2206"/>
    <n v="4"/>
    <n v="3529.6"/>
  </r>
  <r>
    <x v="1"/>
    <n v="6"/>
    <s v="Benjamin Barrett"/>
    <n v="222"/>
    <n v="2848"/>
    <n v="4"/>
    <n v="4556.8"/>
  </r>
  <r>
    <x v="0"/>
    <n v="18"/>
    <s v="Matthew Cervantes"/>
    <n v="595"/>
    <n v="1694"/>
    <n v="8"/>
    <n v="5420.8"/>
  </r>
  <r>
    <x v="2"/>
    <n v="5"/>
    <s v="Shelley Lopez"/>
    <n v="243"/>
    <n v="2024"/>
    <n v="1"/>
    <n v="809.6"/>
  </r>
  <r>
    <x v="1"/>
    <n v="8"/>
    <s v="Brandon Sampson"/>
    <n v="910"/>
    <n v="2581"/>
    <n v="6"/>
    <n v="6194.4"/>
  </r>
  <r>
    <x v="2"/>
    <n v="9"/>
    <s v="Melissa Rowland"/>
    <n v="639"/>
    <n v="1457"/>
    <n v="5"/>
    <n v="2914"/>
  </r>
  <r>
    <x v="2"/>
    <n v="11"/>
    <s v="Thomas Lin"/>
    <n v="878"/>
    <n v="2839"/>
    <n v="1"/>
    <n v="1135.5999999999999"/>
  </r>
  <r>
    <x v="1"/>
    <n v="3"/>
    <s v="Bruce Leonard"/>
    <n v="740"/>
    <n v="2592"/>
    <n v="5"/>
    <n v="5184"/>
  </r>
  <r>
    <x v="1"/>
    <n v="19"/>
    <s v="Tracey Barnes"/>
    <n v="255"/>
    <n v="642"/>
    <n v="8"/>
    <n v="2054.4"/>
  </r>
  <r>
    <x v="1"/>
    <n v="5"/>
    <s v="Cindy Ramirez"/>
    <n v="963"/>
    <n v="2875"/>
    <n v="2"/>
    <n v="2300"/>
  </r>
  <r>
    <x v="0"/>
    <n v="4"/>
    <s v="Courtney Morris"/>
    <n v="372"/>
    <n v="2922"/>
    <n v="8"/>
    <n v="9350.4"/>
  </r>
  <r>
    <x v="2"/>
    <n v="19"/>
    <s v="Sean Taylor"/>
    <n v="342"/>
    <n v="2087"/>
    <n v="8"/>
    <n v="6678.4"/>
  </r>
  <r>
    <x v="0"/>
    <n v="8"/>
    <s v="Shannon Kelly"/>
    <n v="895"/>
    <n v="2299"/>
    <n v="3"/>
    <n v="2758.8"/>
  </r>
  <r>
    <x v="0"/>
    <n v="5"/>
    <s v="Brenda Gordon"/>
    <n v="481"/>
    <n v="2581"/>
    <n v="2"/>
    <n v="2064.8000000000002"/>
  </r>
  <r>
    <x v="1"/>
    <n v="3"/>
    <s v="Mark Perkins"/>
    <n v="706"/>
    <n v="500"/>
    <n v="4"/>
    <n v="800"/>
  </r>
  <r>
    <x v="1"/>
    <n v="15"/>
    <s v="Aaron Lewis"/>
    <n v="839"/>
    <n v="1952"/>
    <n v="3"/>
    <n v="2342.4"/>
  </r>
  <r>
    <x v="1"/>
    <n v="8"/>
    <s v="Tonya Manning"/>
    <n v="970"/>
    <n v="2249"/>
    <n v="3"/>
    <n v="2698.8"/>
  </r>
  <r>
    <x v="1"/>
    <n v="13"/>
    <s v="Shannon Jarvis"/>
    <n v="481"/>
    <n v="1873"/>
    <n v="2"/>
    <n v="1498.4"/>
  </r>
  <r>
    <x v="0"/>
    <n v="13"/>
    <s v="Andre Fuentes"/>
    <n v="913"/>
    <n v="1229"/>
    <n v="7"/>
    <n v="3441.2"/>
  </r>
  <r>
    <x v="1"/>
    <n v="5"/>
    <s v="Kelly Braun"/>
    <n v="327"/>
    <n v="1676"/>
    <n v="7"/>
    <n v="4692.8"/>
  </r>
  <r>
    <x v="0"/>
    <n v="13"/>
    <s v="Donna Rodriguez"/>
    <n v="693"/>
    <n v="1764"/>
    <n v="1"/>
    <n v="705.6"/>
  </r>
  <r>
    <x v="0"/>
    <n v="3"/>
    <s v="Michelle Torres"/>
    <n v="206"/>
    <n v="2411"/>
    <n v="4"/>
    <n v="3857.6"/>
  </r>
  <r>
    <x v="2"/>
    <n v="4"/>
    <s v="Angela Buckley"/>
    <n v="288"/>
    <n v="2519"/>
    <n v="2"/>
    <n v="2015.2"/>
  </r>
  <r>
    <x v="1"/>
    <n v="8"/>
    <s v="Monica Meyer"/>
    <n v="697"/>
    <n v="1524"/>
    <n v="6"/>
    <n v="3657.6"/>
  </r>
  <r>
    <x v="1"/>
    <n v="8"/>
    <s v="Larry West"/>
    <n v="600"/>
    <n v="2877"/>
    <n v="5"/>
    <n v="5754"/>
  </r>
  <r>
    <x v="0"/>
    <n v="10"/>
    <s v="Morgan Gonzales"/>
    <n v="512"/>
    <n v="1089"/>
    <n v="2"/>
    <n v="871.2"/>
  </r>
  <r>
    <x v="2"/>
    <n v="10"/>
    <s v="Timothy Jackson"/>
    <n v="783"/>
    <n v="1977"/>
    <n v="2"/>
    <n v="1581.6"/>
  </r>
  <r>
    <x v="0"/>
    <n v="20"/>
    <s v="Rachel Bass"/>
    <n v="785"/>
    <n v="2220"/>
    <n v="8"/>
    <n v="7104"/>
  </r>
  <r>
    <x v="1"/>
    <n v="14"/>
    <s v="Connie Cox"/>
    <n v="477"/>
    <n v="2918"/>
    <n v="6"/>
    <n v="7003.2"/>
  </r>
  <r>
    <x v="0"/>
    <n v="4"/>
    <s v="Corey Nichols"/>
    <n v="786"/>
    <n v="2964"/>
    <n v="2"/>
    <n v="2371.1999999999998"/>
  </r>
  <r>
    <x v="2"/>
    <n v="9"/>
    <s v="Elizabeth Martin"/>
    <n v="348"/>
    <n v="2552"/>
    <n v="4"/>
    <n v="4083.2"/>
  </r>
  <r>
    <x v="2"/>
    <n v="8"/>
    <s v="Christopher Burns MD"/>
    <n v="631"/>
    <n v="2430"/>
    <n v="1"/>
    <n v="972"/>
  </r>
  <r>
    <x v="2"/>
    <n v="14"/>
    <s v="Andrew Ferguson"/>
    <n v="454"/>
    <n v="2083"/>
    <n v="5"/>
    <n v="4166"/>
  </r>
  <r>
    <x v="0"/>
    <n v="18"/>
    <s v="Jenny Montgomery"/>
    <n v="258"/>
    <n v="569"/>
    <n v="1"/>
    <n v="227.6"/>
  </r>
  <r>
    <x v="0"/>
    <n v="20"/>
    <s v="Diana Allen MD"/>
    <n v="674"/>
    <n v="1331"/>
    <n v="3"/>
    <n v="1597.2"/>
  </r>
  <r>
    <x v="1"/>
    <n v="6"/>
    <s v="Tammy Morales"/>
    <n v="270"/>
    <n v="1223"/>
    <n v="4"/>
    <n v="1956.8"/>
  </r>
  <r>
    <x v="1"/>
    <n v="6"/>
    <s v="Jennifer Nguyen"/>
    <n v="262"/>
    <n v="2952"/>
    <n v="4"/>
    <n v="4723.2"/>
  </r>
  <r>
    <x v="2"/>
    <n v="4"/>
    <s v="Angela Vincent"/>
    <n v="268"/>
    <n v="2353"/>
    <n v="4"/>
    <n v="3764.8"/>
  </r>
  <r>
    <x v="1"/>
    <n v="13"/>
    <s v="Vanessa Garrison"/>
    <n v="389"/>
    <n v="1961"/>
    <n v="3"/>
    <n v="2353.1999999999998"/>
  </r>
  <r>
    <x v="0"/>
    <n v="8"/>
    <s v="Eric Gordon"/>
    <n v="600"/>
    <n v="754"/>
    <n v="8"/>
    <n v="2412.8000000000002"/>
  </r>
  <r>
    <x v="1"/>
    <n v="9"/>
    <s v="Clarence Turner"/>
    <n v="629"/>
    <n v="2878"/>
    <n v="6"/>
    <n v="6907.2"/>
  </r>
  <r>
    <x v="0"/>
    <n v="18"/>
    <s v="Jennifer Williams"/>
    <n v="377"/>
    <n v="1733"/>
    <n v="5"/>
    <n v="3466"/>
  </r>
  <r>
    <x v="0"/>
    <n v="17"/>
    <s v="Jeffrey Shaw"/>
    <n v="778"/>
    <n v="699"/>
    <n v="3"/>
    <n v="838.8"/>
  </r>
  <r>
    <x v="0"/>
    <n v="17"/>
    <s v="Courtney Edwards"/>
    <n v="830"/>
    <n v="1225"/>
    <n v="3"/>
    <n v="1470"/>
  </r>
  <r>
    <x v="1"/>
    <n v="18"/>
    <s v="Stephanie Rodriguez"/>
    <n v="329"/>
    <n v="2666"/>
    <n v="1"/>
    <n v="1066.4000000000001"/>
  </r>
  <r>
    <x v="0"/>
    <n v="8"/>
    <s v="Jody Stewart"/>
    <n v="279"/>
    <n v="1469"/>
    <n v="1"/>
    <n v="587.6"/>
  </r>
  <r>
    <x v="0"/>
    <n v="19"/>
    <s v="Kelly Smith DDS"/>
    <n v="426"/>
    <n v="1132"/>
    <n v="4"/>
    <n v="1811.2"/>
  </r>
  <r>
    <x v="1"/>
    <n v="5"/>
    <s v="Keith Smith"/>
    <n v="497"/>
    <n v="908"/>
    <n v="3"/>
    <n v="1089.5999999999999"/>
  </r>
  <r>
    <x v="0"/>
    <n v="13"/>
    <s v="John Jordan"/>
    <n v="718"/>
    <n v="2074"/>
    <n v="4"/>
    <n v="3318.4"/>
  </r>
  <r>
    <x v="2"/>
    <n v="11"/>
    <s v="Ashley Green"/>
    <n v="314"/>
    <n v="1265"/>
    <n v="8"/>
    <n v="4048"/>
  </r>
  <r>
    <x v="2"/>
    <n v="4"/>
    <s v="Daniel Jones"/>
    <n v="427"/>
    <n v="1220"/>
    <n v="7"/>
    <n v="3416"/>
  </r>
  <r>
    <x v="2"/>
    <n v="5"/>
    <s v="Michelle Davenport"/>
    <n v="788"/>
    <n v="2667"/>
    <n v="8"/>
    <n v="8534.4"/>
  </r>
  <r>
    <x v="0"/>
    <n v="19"/>
    <s v="Jennifer Barrera"/>
    <n v="919"/>
    <n v="820"/>
    <n v="4"/>
    <n v="1312"/>
  </r>
  <r>
    <x v="1"/>
    <n v="14"/>
    <s v="Marc Watson"/>
    <n v="522"/>
    <n v="1757"/>
    <n v="7"/>
    <n v="4919.6000000000004"/>
  </r>
  <r>
    <x v="2"/>
    <n v="10"/>
    <s v="Yvette Mendez"/>
    <n v="305"/>
    <n v="1463"/>
    <n v="6"/>
    <n v="3511.2"/>
  </r>
  <r>
    <x v="0"/>
    <n v="10"/>
    <s v="Parker Jones"/>
    <n v="537"/>
    <n v="1109"/>
    <n v="2"/>
    <n v="887.2"/>
  </r>
  <r>
    <x v="0"/>
    <n v="7"/>
    <s v="Susan Hill"/>
    <n v="675"/>
    <n v="1740"/>
    <n v="6"/>
    <n v="4176"/>
  </r>
  <r>
    <x v="2"/>
    <n v="10"/>
    <s v="Michaela King"/>
    <n v="452"/>
    <n v="542"/>
    <n v="5"/>
    <n v="1084"/>
  </r>
  <r>
    <x v="2"/>
    <n v="17"/>
    <s v="Theresa Cook"/>
    <n v="894"/>
    <n v="2483"/>
    <n v="5"/>
    <n v="4966"/>
  </r>
  <r>
    <x v="2"/>
    <n v="3"/>
    <s v="Edward Christensen"/>
    <n v="432"/>
    <n v="511"/>
    <n v="5"/>
    <n v="1022"/>
  </r>
  <r>
    <x v="1"/>
    <n v="8"/>
    <s v="Melissa Watkins"/>
    <n v="267"/>
    <n v="2759"/>
    <n v="4"/>
    <n v="4414.3999999999996"/>
  </r>
  <r>
    <x v="0"/>
    <n v="4"/>
    <s v="John Sutton"/>
    <n v="785"/>
    <n v="1024"/>
    <n v="5"/>
    <n v="2048"/>
  </r>
  <r>
    <x v="0"/>
    <n v="13"/>
    <s v="Angel Booth"/>
    <n v="923"/>
    <n v="2050"/>
    <n v="6"/>
    <n v="4920"/>
  </r>
  <r>
    <x v="2"/>
    <n v="13"/>
    <s v="Kayla Cordova"/>
    <n v="704"/>
    <n v="1708"/>
    <n v="8"/>
    <n v="5465.6"/>
  </r>
  <r>
    <x v="0"/>
    <n v="11"/>
    <s v="Henry Byrd"/>
    <n v="732"/>
    <n v="1809"/>
    <n v="2"/>
    <n v="1447.2"/>
  </r>
  <r>
    <x v="1"/>
    <n v="20"/>
    <s v="Robert Williams"/>
    <n v="708"/>
    <n v="1546"/>
    <n v="8"/>
    <n v="4947.2"/>
  </r>
  <r>
    <x v="2"/>
    <n v="18"/>
    <s v="Ms. Mary Horton"/>
    <n v="993"/>
    <n v="1835"/>
    <n v="6"/>
    <n v="4404"/>
  </r>
  <r>
    <x v="0"/>
    <n v="3"/>
    <s v="Reginald Cook"/>
    <n v="452"/>
    <n v="1333"/>
    <n v="7"/>
    <n v="3732.4"/>
  </r>
  <r>
    <x v="2"/>
    <n v="15"/>
    <s v="Alyssa Stanton"/>
    <n v="774"/>
    <n v="2737"/>
    <n v="8"/>
    <n v="8758.4"/>
  </r>
  <r>
    <x v="2"/>
    <n v="12"/>
    <s v="Jonathan Munoz"/>
    <n v="408"/>
    <n v="542"/>
    <n v="7"/>
    <n v="1517.6"/>
  </r>
  <r>
    <x v="0"/>
    <n v="8"/>
    <s v="Chad Johnson"/>
    <n v="843"/>
    <n v="1079"/>
    <n v="2"/>
    <n v="863.2"/>
  </r>
  <r>
    <x v="0"/>
    <n v="8"/>
    <s v="Steve Gibson"/>
    <n v="942"/>
    <n v="2330"/>
    <n v="6"/>
    <n v="5592"/>
  </r>
  <r>
    <x v="1"/>
    <n v="10"/>
    <s v="Jennifer Nichols"/>
    <n v="383"/>
    <n v="700"/>
    <n v="2"/>
    <n v="560"/>
  </r>
  <r>
    <x v="0"/>
    <n v="16"/>
    <s v="Travis Shaffer"/>
    <n v="244"/>
    <n v="2711"/>
    <n v="1"/>
    <n v="1084.4000000000001"/>
  </r>
  <r>
    <x v="0"/>
    <n v="16"/>
    <s v="Melissa Cunningham"/>
    <n v="881"/>
    <n v="1388"/>
    <n v="2"/>
    <n v="1110.4000000000001"/>
  </r>
  <r>
    <x v="1"/>
    <n v="18"/>
    <s v="Vincent Collins"/>
    <n v="930"/>
    <n v="1906"/>
    <n v="6"/>
    <n v="4574.3999999999996"/>
  </r>
  <r>
    <x v="0"/>
    <n v="15"/>
    <s v="Billy Jackson"/>
    <n v="748"/>
    <n v="2314"/>
    <n v="4"/>
    <n v="3702.4"/>
  </r>
  <r>
    <x v="1"/>
    <n v="5"/>
    <s v="Shannon Martin"/>
    <n v="747"/>
    <n v="2036"/>
    <n v="6"/>
    <n v="4886.3999999999996"/>
  </r>
  <r>
    <x v="0"/>
    <n v="11"/>
    <s v="Abigail Coleman"/>
    <n v="928"/>
    <n v="2725"/>
    <n v="8"/>
    <n v="8720"/>
  </r>
  <r>
    <x v="1"/>
    <n v="11"/>
    <s v="Kurt Hickman"/>
    <n v="731"/>
    <n v="1992"/>
    <n v="4"/>
    <n v="3187.2"/>
  </r>
  <r>
    <x v="2"/>
    <n v="3"/>
    <s v="Abigail Wright"/>
    <n v="277"/>
    <n v="2608"/>
    <n v="1"/>
    <n v="1043.2"/>
  </r>
  <r>
    <x v="0"/>
    <n v="16"/>
    <s v="Daniel Ruiz"/>
    <n v="222"/>
    <n v="1026"/>
    <n v="5"/>
    <n v="2052"/>
  </r>
  <r>
    <x v="1"/>
    <n v="12"/>
    <s v="Timothy Rangel"/>
    <n v="256"/>
    <n v="1022"/>
    <n v="4"/>
    <n v="1635.2"/>
  </r>
  <r>
    <x v="1"/>
    <n v="4"/>
    <s v="Jessica Moore"/>
    <n v="630"/>
    <n v="2640"/>
    <n v="1"/>
    <n v="1056"/>
  </r>
  <r>
    <x v="2"/>
    <n v="15"/>
    <s v="Lori Richardson"/>
    <n v="662"/>
    <n v="2950"/>
    <n v="4"/>
    <n v="4720"/>
  </r>
  <r>
    <x v="0"/>
    <n v="3"/>
    <s v="Denise Young"/>
    <n v="977"/>
    <n v="1495"/>
    <n v="7"/>
    <n v="4186"/>
  </r>
  <r>
    <x v="2"/>
    <n v="20"/>
    <s v="George Santos"/>
    <n v="970"/>
    <n v="2157"/>
    <n v="1"/>
    <n v="862.8"/>
  </r>
  <r>
    <x v="2"/>
    <n v="6"/>
    <s v="Joel Allen"/>
    <n v="510"/>
    <n v="2134"/>
    <n v="5"/>
    <n v="4268"/>
  </r>
  <r>
    <x v="1"/>
    <n v="5"/>
    <s v="David Mooney"/>
    <n v="733"/>
    <n v="1013"/>
    <n v="3"/>
    <n v="1215.5999999999999"/>
  </r>
  <r>
    <x v="2"/>
    <n v="5"/>
    <s v="Shawn Jones"/>
    <n v="558"/>
    <n v="1297"/>
    <n v="1"/>
    <n v="518.79999999999995"/>
  </r>
  <r>
    <x v="1"/>
    <n v="6"/>
    <s v="Susan Jackson"/>
    <n v="735"/>
    <n v="1245"/>
    <n v="5"/>
    <n v="2490"/>
  </r>
  <r>
    <x v="0"/>
    <n v="5"/>
    <s v="Krista Boyer"/>
    <n v="374"/>
    <n v="2800"/>
    <n v="6"/>
    <n v="6720"/>
  </r>
  <r>
    <x v="2"/>
    <n v="4"/>
    <s v="Brittany Blake"/>
    <n v="573"/>
    <n v="1221"/>
    <n v="2"/>
    <n v="976.8"/>
  </r>
  <r>
    <x v="2"/>
    <n v="6"/>
    <s v="Christopher Smith"/>
    <n v="802"/>
    <n v="944"/>
    <n v="7"/>
    <n v="2643.2"/>
  </r>
  <r>
    <x v="2"/>
    <n v="18"/>
    <s v="Wayne Jones"/>
    <n v="979"/>
    <n v="1186"/>
    <n v="2"/>
    <n v="948.8"/>
  </r>
  <r>
    <x v="1"/>
    <n v="14"/>
    <s v="Ashley Serrano"/>
    <n v="336"/>
    <n v="2865"/>
    <n v="6"/>
    <n v="6876"/>
  </r>
  <r>
    <x v="1"/>
    <n v="4"/>
    <s v="Paul Kennedy"/>
    <n v="314"/>
    <n v="1650"/>
    <n v="7"/>
    <n v="4620"/>
  </r>
  <r>
    <x v="2"/>
    <n v="14"/>
    <s v="Beth Harris"/>
    <n v="687"/>
    <n v="2338"/>
    <n v="5"/>
    <n v="4676"/>
  </r>
  <r>
    <x v="2"/>
    <n v="3"/>
    <s v="Jessica Wade"/>
    <n v="414"/>
    <n v="2961"/>
    <n v="2"/>
    <n v="2368.8000000000002"/>
  </r>
  <r>
    <x v="0"/>
    <n v="6"/>
    <s v="Christopher Beltran"/>
    <n v="320"/>
    <n v="2581"/>
    <n v="1"/>
    <n v="1032.4000000000001"/>
  </r>
  <r>
    <x v="0"/>
    <n v="4"/>
    <s v="Calvin Haney"/>
    <n v="716"/>
    <n v="2929"/>
    <n v="5"/>
    <n v="5858"/>
  </r>
  <r>
    <x v="0"/>
    <n v="8"/>
    <s v="Chad Torres"/>
    <n v="656"/>
    <n v="1632"/>
    <n v="3"/>
    <n v="1958.4"/>
  </r>
  <r>
    <x v="2"/>
    <n v="5"/>
    <s v="Michael Barber"/>
    <n v="273"/>
    <n v="2499"/>
    <n v="2"/>
    <n v="1999.2"/>
  </r>
  <r>
    <x v="2"/>
    <n v="14"/>
    <s v="Debra Galvan"/>
    <n v="615"/>
    <n v="2643"/>
    <n v="3"/>
    <n v="3171.6"/>
  </r>
  <r>
    <x v="1"/>
    <n v="8"/>
    <s v="Jay Robinson"/>
    <n v="933"/>
    <n v="2871"/>
    <n v="3"/>
    <n v="344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BF4629-9F4F-4E71-B0C4-E5A39B4624E6}"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
    <pivotField dataField="1" subtotalTop="0" showAll="0" defaultSubtotal="0"/>
    <pivotField axis="axisRow" allDrilled="1" showAll="0" dataSourceSort="1" defaultAttributeDrillState="1">
      <items count="4">
        <item x="0"/>
        <item x="1"/>
        <item x="2"/>
        <item t="default"/>
      </items>
    </pivotField>
  </pivotFields>
  <rowFields count="1">
    <field x="1"/>
  </rowFields>
  <rowItems count="4">
    <i>
      <x/>
    </i>
    <i>
      <x v="1"/>
    </i>
    <i>
      <x v="2"/>
    </i>
    <i t="grand">
      <x/>
    </i>
  </rowItems>
  <colItems count="1">
    <i/>
  </colItems>
  <dataFields count="1">
    <dataField name="Sum of Sales Profit"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1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BFBF43-38B3-457B-846C-5200ADB8ABB8}"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7">
    <pivotField axis="axisRow" showAll="0">
      <items count="4">
        <item x="1"/>
        <item x="2"/>
        <item x="0"/>
        <item t="default"/>
      </items>
    </pivotField>
    <pivotField showAll="0"/>
    <pivotField showAll="0"/>
    <pivotField showAll="0"/>
    <pivotField showAll="0"/>
    <pivotField showAll="0"/>
    <pivotField dataField="1" showAll="0"/>
  </pivotFields>
  <rowFields count="1">
    <field x="0"/>
  </rowFields>
  <rowItems count="4">
    <i>
      <x/>
    </i>
    <i>
      <x v="1"/>
    </i>
    <i>
      <x v="2"/>
    </i>
    <i t="grand">
      <x/>
    </i>
  </rowItems>
  <colItems count="1">
    <i/>
  </colItems>
  <dataFields count="1">
    <dataField name="Sum of Sales Profit" fld="6"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53F969-4859-427B-8987-DCE058CB3692}" name="Table1" displayName="Table1" ref="A1:G111" totalsRowShown="0" headerRowDxfId="22" dataDxfId="23">
  <autoFilter ref="A1:G111" xr:uid="{DB53F969-4859-427B-8987-DCE058CB3692}"/>
  <tableColumns count="7">
    <tableColumn id="1" xr3:uid="{B329397E-7FF2-4B2B-9A83-617C48E32259}" name="Category" dataDxfId="30"/>
    <tableColumn id="2" xr3:uid="{F070685D-514D-4435-8BB1-E4AB3D5DDFDE}" name="Staff Count" dataDxfId="29"/>
    <tableColumn id="3" xr3:uid="{08660B2A-3729-4CB9-A0A3-0AA19F519DAE}" name="Customer Name" dataDxfId="28"/>
    <tableColumn id="4" xr3:uid="{13E21133-E5E9-4288-B93F-46877E33B3D6}" name="Product ID" dataDxfId="27"/>
    <tableColumn id="5" xr3:uid="{CF00430D-933B-412C-9C62-9E884CE1C3CD}" name="Price" dataDxfId="26"/>
    <tableColumn id="6" xr3:uid="{3089A10F-17BD-4CEB-936B-A94B1C404BD5}" name="Quantity" dataDxfId="25"/>
    <tableColumn id="7" xr3:uid="{3B36860F-A824-40C4-8786-EE13C02B77E3}" name="Sales Profit" dataDxfId="24"/>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5C0A6A-6E18-401D-88E3-47F7848369B3}" name="Table2" displayName="Table2" ref="A1:B15" totalsRowShown="0" headerRowDxfId="16" dataDxfId="17" headerRowBorderDxfId="20" tableBorderDxfId="21">
  <autoFilter ref="A1:B15" xr:uid="{755C0A6A-6E18-401D-88E3-47F7848369B3}"/>
  <tableColumns count="2">
    <tableColumn id="1" xr3:uid="{95084186-D2D1-4B4E-BE9E-F785D92328A3}" name="Price" dataDxfId="19"/>
    <tableColumn id="2" xr3:uid="{F0BDC45E-DF30-4B0C-936D-3159E6E1929B}" name="Column1"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270B430-12FB-43FA-AB5B-FB2AD56133EA}" name="Table35" displayName="Table35" ref="E1:F14" totalsRowShown="0" headerRowDxfId="15" dataDxfId="14" headerRowBorderDxfId="12" tableBorderDxfId="13">
  <autoFilter ref="E1:F14" xr:uid="{6270B430-12FB-43FA-AB5B-FB2AD56133EA}"/>
  <tableColumns count="2">
    <tableColumn id="1" xr3:uid="{739753BA-42CE-4DC9-9DD2-EF1F3AAEB7E9}" name="Sales Profit" dataDxfId="11"/>
    <tableColumn id="2" xr3:uid="{802D5D19-1D68-4766-9758-8B122EF264DB}" name="Column1" dataDxf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4CF840-6449-4F0A-9FC4-197FE8A09F3A}" name="Table5" displayName="Table5" ref="A1:F7" totalsRowShown="0" headerRowDxfId="0" dataDxfId="1" headerRowBorderDxfId="8" tableBorderDxfId="9">
  <autoFilter ref="A1:F7" xr:uid="{F34CF840-6449-4F0A-9FC4-197FE8A09F3A}"/>
  <tableColumns count="6">
    <tableColumn id="1" xr3:uid="{2E7C48EB-47E2-4835-B01B-EFE9B9A64EB5}" name="bin data" dataDxfId="7"/>
    <tableColumn id="2" xr3:uid="{8822EF3B-D1A6-4809-9AD3-77601F08C0BC}" name="Frequency" dataDxfId="6"/>
    <tableColumn id="3" xr3:uid="{7AC54B1A-AD68-4CC2-9E30-10696B0FF970}" name="Cumulative %" dataDxfId="5"/>
    <tableColumn id="4" xr3:uid="{7C4DCD28-D0AE-4237-B383-186A300FA5BE}" name="bin data2" dataDxfId="4"/>
    <tableColumn id="5" xr3:uid="{3BC98E95-04FE-4E22-953A-A4EAEAFDBA36}" name="Frequency3" dataDxfId="3"/>
    <tableColumn id="6" xr3:uid="{2FC3DE3B-2582-4DD4-98B8-0E66AFAFCA27}" name="Cumulative %4" dataDxfId="2"/>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B1DDE-4129-4A60-BD40-0AB9BC2F80A8}">
  <dimension ref="A1:G111"/>
  <sheetViews>
    <sheetView topLeftCell="A2" workbookViewId="0">
      <selection activeCell="A85" sqref="A2:G111"/>
    </sheetView>
  </sheetViews>
  <sheetFormatPr defaultRowHeight="14.4" x14ac:dyDescent="0.3"/>
  <cols>
    <col min="1" max="1" width="10.44140625" customWidth="1"/>
    <col min="2" max="2" width="12.77734375" bestFit="1" customWidth="1"/>
    <col min="3" max="3" width="16.44140625" customWidth="1"/>
    <col min="4" max="4" width="11.77734375" customWidth="1"/>
    <col min="6" max="6" width="10.21875" customWidth="1"/>
    <col min="7" max="7" width="12.21875" customWidth="1"/>
  </cols>
  <sheetData>
    <row r="1" spans="1:7" x14ac:dyDescent="0.3">
      <c r="A1" s="1" t="s">
        <v>0</v>
      </c>
      <c r="B1" s="1" t="s">
        <v>1</v>
      </c>
      <c r="C1" s="1" t="s">
        <v>2</v>
      </c>
      <c r="D1" s="1" t="s">
        <v>3</v>
      </c>
      <c r="E1" s="1" t="s">
        <v>4</v>
      </c>
      <c r="F1" s="1" t="s">
        <v>5</v>
      </c>
      <c r="G1" s="1" t="s">
        <v>6</v>
      </c>
    </row>
    <row r="2" spans="1:7" x14ac:dyDescent="0.3">
      <c r="A2" s="1" t="s">
        <v>7</v>
      </c>
      <c r="B2" s="1">
        <v>17</v>
      </c>
      <c r="C2" s="1" t="s">
        <v>8</v>
      </c>
      <c r="D2" s="1">
        <v>354</v>
      </c>
      <c r="E2" s="1">
        <v>1958</v>
      </c>
      <c r="F2" s="1">
        <v>5</v>
      </c>
      <c r="G2" s="1">
        <v>3916</v>
      </c>
    </row>
    <row r="3" spans="1:7" x14ac:dyDescent="0.3">
      <c r="A3" s="1" t="s">
        <v>9</v>
      </c>
      <c r="B3" s="1">
        <v>6</v>
      </c>
      <c r="C3" s="1" t="s">
        <v>10</v>
      </c>
      <c r="D3" s="1">
        <v>741</v>
      </c>
      <c r="E3" s="1">
        <v>2078</v>
      </c>
      <c r="F3" s="1">
        <v>1</v>
      </c>
      <c r="G3" s="1">
        <v>831.2</v>
      </c>
    </row>
    <row r="4" spans="1:7" x14ac:dyDescent="0.3">
      <c r="A4" s="1" t="s">
        <v>11</v>
      </c>
      <c r="B4" s="1">
        <v>18</v>
      </c>
      <c r="C4" s="1" t="s">
        <v>12</v>
      </c>
      <c r="D4" s="1">
        <v>607</v>
      </c>
      <c r="E4" s="1">
        <v>1445</v>
      </c>
      <c r="F4" s="1">
        <v>2</v>
      </c>
      <c r="G4" s="1">
        <v>1156</v>
      </c>
    </row>
    <row r="5" spans="1:7" x14ac:dyDescent="0.3">
      <c r="A5" s="1" t="s">
        <v>7</v>
      </c>
      <c r="B5" s="1">
        <v>13</v>
      </c>
      <c r="C5" s="1" t="s">
        <v>13</v>
      </c>
      <c r="D5" s="1">
        <v>991</v>
      </c>
      <c r="E5" s="1">
        <v>2469</v>
      </c>
      <c r="F5" s="1">
        <v>6</v>
      </c>
      <c r="G5" s="1">
        <v>5925.6</v>
      </c>
    </row>
    <row r="6" spans="1:7" x14ac:dyDescent="0.3">
      <c r="A6" s="1" t="s">
        <v>11</v>
      </c>
      <c r="B6" s="1">
        <v>19</v>
      </c>
      <c r="C6" s="1" t="s">
        <v>14</v>
      </c>
      <c r="D6" s="1">
        <v>479</v>
      </c>
      <c r="E6" s="1">
        <v>1105</v>
      </c>
      <c r="F6" s="1">
        <v>6</v>
      </c>
      <c r="G6" s="1">
        <v>2652</v>
      </c>
    </row>
    <row r="7" spans="1:7" x14ac:dyDescent="0.3">
      <c r="A7" s="1" t="s">
        <v>9</v>
      </c>
      <c r="B7" s="1">
        <v>14</v>
      </c>
      <c r="C7" s="1" t="s">
        <v>15</v>
      </c>
      <c r="D7" s="1">
        <v>295</v>
      </c>
      <c r="E7" s="1">
        <v>2206</v>
      </c>
      <c r="F7" s="1">
        <v>4</v>
      </c>
      <c r="G7" s="1">
        <v>3529.6</v>
      </c>
    </row>
    <row r="8" spans="1:7" x14ac:dyDescent="0.3">
      <c r="A8" s="1" t="s">
        <v>9</v>
      </c>
      <c r="B8" s="1">
        <v>6</v>
      </c>
      <c r="C8" s="1" t="s">
        <v>16</v>
      </c>
      <c r="D8" s="1">
        <v>222</v>
      </c>
      <c r="E8" s="1">
        <v>2848</v>
      </c>
      <c r="F8" s="1">
        <v>4</v>
      </c>
      <c r="G8" s="1">
        <v>4556.8</v>
      </c>
    </row>
    <row r="9" spans="1:7" x14ac:dyDescent="0.3">
      <c r="A9" s="1" t="s">
        <v>7</v>
      </c>
      <c r="B9" s="1">
        <v>18</v>
      </c>
      <c r="C9" s="1" t="s">
        <v>17</v>
      </c>
      <c r="D9" s="1">
        <v>595</v>
      </c>
      <c r="E9" s="1">
        <v>1694</v>
      </c>
      <c r="F9" s="1">
        <v>8</v>
      </c>
      <c r="G9" s="1">
        <v>5420.8</v>
      </c>
    </row>
    <row r="10" spans="1:7" x14ac:dyDescent="0.3">
      <c r="A10" s="1" t="s">
        <v>11</v>
      </c>
      <c r="B10" s="1">
        <v>5</v>
      </c>
      <c r="C10" s="1" t="s">
        <v>18</v>
      </c>
      <c r="D10" s="1">
        <v>243</v>
      </c>
      <c r="E10" s="1">
        <v>2024</v>
      </c>
      <c r="F10" s="1">
        <v>1</v>
      </c>
      <c r="G10" s="1">
        <v>809.6</v>
      </c>
    </row>
    <row r="11" spans="1:7" x14ac:dyDescent="0.3">
      <c r="A11" s="1" t="s">
        <v>9</v>
      </c>
      <c r="B11" s="1">
        <v>8</v>
      </c>
      <c r="C11" s="1" t="s">
        <v>19</v>
      </c>
      <c r="D11" s="1">
        <v>910</v>
      </c>
      <c r="E11" s="1">
        <v>2581</v>
      </c>
      <c r="F11" s="1">
        <v>6</v>
      </c>
      <c r="G11" s="1">
        <v>6194.4</v>
      </c>
    </row>
    <row r="12" spans="1:7" x14ac:dyDescent="0.3">
      <c r="A12" s="1" t="s">
        <v>11</v>
      </c>
      <c r="B12" s="1">
        <v>9</v>
      </c>
      <c r="C12" s="1" t="s">
        <v>20</v>
      </c>
      <c r="D12" s="1">
        <v>639</v>
      </c>
      <c r="E12" s="1">
        <v>1457</v>
      </c>
      <c r="F12" s="1">
        <v>5</v>
      </c>
      <c r="G12" s="1">
        <v>2914</v>
      </c>
    </row>
    <row r="13" spans="1:7" x14ac:dyDescent="0.3">
      <c r="A13" s="1" t="s">
        <v>11</v>
      </c>
      <c r="B13" s="1">
        <v>11</v>
      </c>
      <c r="C13" s="1" t="s">
        <v>21</v>
      </c>
      <c r="D13" s="1">
        <v>878</v>
      </c>
      <c r="E13" s="1">
        <v>2839</v>
      </c>
      <c r="F13" s="1">
        <v>1</v>
      </c>
      <c r="G13" s="1">
        <v>1135.5999999999999</v>
      </c>
    </row>
    <row r="14" spans="1:7" x14ac:dyDescent="0.3">
      <c r="A14" s="1" t="s">
        <v>9</v>
      </c>
      <c r="B14" s="1">
        <v>3</v>
      </c>
      <c r="C14" s="1" t="s">
        <v>22</v>
      </c>
      <c r="D14" s="1">
        <v>740</v>
      </c>
      <c r="E14" s="1">
        <v>2592</v>
      </c>
      <c r="F14" s="1">
        <v>5</v>
      </c>
      <c r="G14" s="1">
        <v>5184</v>
      </c>
    </row>
    <row r="15" spans="1:7" x14ac:dyDescent="0.3">
      <c r="A15" s="1" t="s">
        <v>9</v>
      </c>
      <c r="B15" s="1">
        <v>19</v>
      </c>
      <c r="C15" s="1" t="s">
        <v>23</v>
      </c>
      <c r="D15" s="1">
        <v>255</v>
      </c>
      <c r="E15" s="1">
        <v>642</v>
      </c>
      <c r="F15" s="1">
        <v>8</v>
      </c>
      <c r="G15" s="1">
        <v>2054.4</v>
      </c>
    </row>
    <row r="16" spans="1:7" x14ac:dyDescent="0.3">
      <c r="A16" s="1" t="s">
        <v>9</v>
      </c>
      <c r="B16" s="1">
        <v>5</v>
      </c>
      <c r="C16" s="1" t="s">
        <v>24</v>
      </c>
      <c r="D16" s="1">
        <v>963</v>
      </c>
      <c r="E16" s="1">
        <v>2875</v>
      </c>
      <c r="F16" s="1">
        <v>2</v>
      </c>
      <c r="G16" s="1">
        <v>2300</v>
      </c>
    </row>
    <row r="17" spans="1:7" x14ac:dyDescent="0.3">
      <c r="A17" s="1" t="s">
        <v>7</v>
      </c>
      <c r="B17" s="1">
        <v>4</v>
      </c>
      <c r="C17" s="1" t="s">
        <v>25</v>
      </c>
      <c r="D17" s="1">
        <v>372</v>
      </c>
      <c r="E17" s="1">
        <v>2922</v>
      </c>
      <c r="F17" s="1">
        <v>8</v>
      </c>
      <c r="G17" s="1">
        <v>9350.4</v>
      </c>
    </row>
    <row r="18" spans="1:7" x14ac:dyDescent="0.3">
      <c r="A18" s="1" t="s">
        <v>11</v>
      </c>
      <c r="B18" s="1">
        <v>19</v>
      </c>
      <c r="C18" s="1" t="s">
        <v>26</v>
      </c>
      <c r="D18" s="1">
        <v>342</v>
      </c>
      <c r="E18" s="1">
        <v>2087</v>
      </c>
      <c r="F18" s="1">
        <v>8</v>
      </c>
      <c r="G18" s="1">
        <v>6678.4</v>
      </c>
    </row>
    <row r="19" spans="1:7" x14ac:dyDescent="0.3">
      <c r="A19" s="1" t="s">
        <v>7</v>
      </c>
      <c r="B19" s="1">
        <v>8</v>
      </c>
      <c r="C19" s="1" t="s">
        <v>27</v>
      </c>
      <c r="D19" s="1">
        <v>895</v>
      </c>
      <c r="E19" s="1">
        <v>2299</v>
      </c>
      <c r="F19" s="1">
        <v>3</v>
      </c>
      <c r="G19" s="1">
        <v>2758.8</v>
      </c>
    </row>
    <row r="20" spans="1:7" x14ac:dyDescent="0.3">
      <c r="A20" s="1" t="s">
        <v>7</v>
      </c>
      <c r="B20" s="1">
        <v>5</v>
      </c>
      <c r="C20" s="1" t="s">
        <v>28</v>
      </c>
      <c r="D20" s="1">
        <v>481</v>
      </c>
      <c r="E20" s="1">
        <v>2581</v>
      </c>
      <c r="F20" s="1">
        <v>2</v>
      </c>
      <c r="G20" s="1">
        <v>2064.8000000000002</v>
      </c>
    </row>
    <row r="21" spans="1:7" x14ac:dyDescent="0.3">
      <c r="A21" s="1" t="s">
        <v>9</v>
      </c>
      <c r="B21" s="1">
        <v>3</v>
      </c>
      <c r="C21" s="1" t="s">
        <v>29</v>
      </c>
      <c r="D21" s="1">
        <v>706</v>
      </c>
      <c r="E21" s="1">
        <v>500</v>
      </c>
      <c r="F21" s="1">
        <v>4</v>
      </c>
      <c r="G21" s="1">
        <v>800</v>
      </c>
    </row>
    <row r="22" spans="1:7" x14ac:dyDescent="0.3">
      <c r="A22" s="1" t="s">
        <v>9</v>
      </c>
      <c r="B22" s="1">
        <v>15</v>
      </c>
      <c r="C22" s="1" t="s">
        <v>30</v>
      </c>
      <c r="D22" s="1">
        <v>839</v>
      </c>
      <c r="E22" s="1">
        <v>1952</v>
      </c>
      <c r="F22" s="1">
        <v>3</v>
      </c>
      <c r="G22" s="1">
        <v>2342.4</v>
      </c>
    </row>
    <row r="23" spans="1:7" x14ac:dyDescent="0.3">
      <c r="A23" s="1" t="s">
        <v>9</v>
      </c>
      <c r="B23" s="1">
        <v>8</v>
      </c>
      <c r="C23" s="1" t="s">
        <v>31</v>
      </c>
      <c r="D23" s="1">
        <v>970</v>
      </c>
      <c r="E23" s="1">
        <v>2249</v>
      </c>
      <c r="F23" s="1">
        <v>3</v>
      </c>
      <c r="G23" s="1">
        <v>2698.8</v>
      </c>
    </row>
    <row r="24" spans="1:7" x14ac:dyDescent="0.3">
      <c r="A24" s="1" t="s">
        <v>9</v>
      </c>
      <c r="B24" s="1">
        <v>13</v>
      </c>
      <c r="C24" s="1" t="s">
        <v>32</v>
      </c>
      <c r="D24" s="1">
        <v>481</v>
      </c>
      <c r="E24" s="1">
        <v>1873</v>
      </c>
      <c r="F24" s="1">
        <v>2</v>
      </c>
      <c r="G24" s="1">
        <v>1498.4</v>
      </c>
    </row>
    <row r="25" spans="1:7" x14ac:dyDescent="0.3">
      <c r="A25" s="1" t="s">
        <v>7</v>
      </c>
      <c r="B25" s="1">
        <v>13</v>
      </c>
      <c r="C25" s="1" t="s">
        <v>33</v>
      </c>
      <c r="D25" s="1">
        <v>913</v>
      </c>
      <c r="E25" s="1">
        <v>1229</v>
      </c>
      <c r="F25" s="1">
        <v>7</v>
      </c>
      <c r="G25" s="1">
        <v>3441.2</v>
      </c>
    </row>
    <row r="26" spans="1:7" x14ac:dyDescent="0.3">
      <c r="A26" s="1" t="s">
        <v>9</v>
      </c>
      <c r="B26" s="1">
        <v>5</v>
      </c>
      <c r="C26" s="1" t="s">
        <v>34</v>
      </c>
      <c r="D26" s="1">
        <v>327</v>
      </c>
      <c r="E26" s="1">
        <v>1676</v>
      </c>
      <c r="F26" s="1">
        <v>7</v>
      </c>
      <c r="G26" s="1">
        <v>4692.8</v>
      </c>
    </row>
    <row r="27" spans="1:7" x14ac:dyDescent="0.3">
      <c r="A27" s="1" t="s">
        <v>7</v>
      </c>
      <c r="B27" s="1">
        <v>13</v>
      </c>
      <c r="C27" s="1" t="s">
        <v>35</v>
      </c>
      <c r="D27" s="1">
        <v>693</v>
      </c>
      <c r="E27" s="1">
        <v>1764</v>
      </c>
      <c r="F27" s="1">
        <v>1</v>
      </c>
      <c r="G27" s="1">
        <v>705.6</v>
      </c>
    </row>
    <row r="28" spans="1:7" x14ac:dyDescent="0.3">
      <c r="A28" s="1" t="s">
        <v>7</v>
      </c>
      <c r="B28" s="1">
        <v>3</v>
      </c>
      <c r="C28" s="1" t="s">
        <v>36</v>
      </c>
      <c r="D28" s="1">
        <v>206</v>
      </c>
      <c r="E28" s="1">
        <v>2411</v>
      </c>
      <c r="F28" s="1">
        <v>4</v>
      </c>
      <c r="G28" s="1">
        <v>3857.6</v>
      </c>
    </row>
    <row r="29" spans="1:7" x14ac:dyDescent="0.3">
      <c r="A29" s="1" t="s">
        <v>11</v>
      </c>
      <c r="B29" s="1">
        <v>4</v>
      </c>
      <c r="C29" s="1" t="s">
        <v>37</v>
      </c>
      <c r="D29" s="1">
        <v>288</v>
      </c>
      <c r="E29" s="1">
        <v>2519</v>
      </c>
      <c r="F29" s="1">
        <v>2</v>
      </c>
      <c r="G29" s="1">
        <v>2015.2</v>
      </c>
    </row>
    <row r="30" spans="1:7" x14ac:dyDescent="0.3">
      <c r="A30" s="1" t="s">
        <v>9</v>
      </c>
      <c r="B30" s="1">
        <v>8</v>
      </c>
      <c r="C30" s="1" t="s">
        <v>38</v>
      </c>
      <c r="D30" s="1">
        <v>697</v>
      </c>
      <c r="E30" s="1">
        <v>1524</v>
      </c>
      <c r="F30" s="1">
        <v>6</v>
      </c>
      <c r="G30" s="1">
        <v>3657.6</v>
      </c>
    </row>
    <row r="31" spans="1:7" x14ac:dyDescent="0.3">
      <c r="A31" s="1" t="s">
        <v>9</v>
      </c>
      <c r="B31" s="1">
        <v>8</v>
      </c>
      <c r="C31" s="1" t="s">
        <v>39</v>
      </c>
      <c r="D31" s="1">
        <v>600</v>
      </c>
      <c r="E31" s="1">
        <v>2877</v>
      </c>
      <c r="F31" s="1">
        <v>5</v>
      </c>
      <c r="G31" s="1">
        <v>5754</v>
      </c>
    </row>
    <row r="32" spans="1:7" x14ac:dyDescent="0.3">
      <c r="A32" s="1" t="s">
        <v>7</v>
      </c>
      <c r="B32" s="1">
        <v>10</v>
      </c>
      <c r="C32" s="1" t="s">
        <v>40</v>
      </c>
      <c r="D32" s="1">
        <v>512</v>
      </c>
      <c r="E32" s="1">
        <v>1089</v>
      </c>
      <c r="F32" s="1">
        <v>2</v>
      </c>
      <c r="G32" s="1">
        <v>871.2</v>
      </c>
    </row>
    <row r="33" spans="1:7" x14ac:dyDescent="0.3">
      <c r="A33" s="1" t="s">
        <v>11</v>
      </c>
      <c r="B33" s="1">
        <v>10</v>
      </c>
      <c r="C33" s="1" t="s">
        <v>41</v>
      </c>
      <c r="D33" s="1">
        <v>783</v>
      </c>
      <c r="E33" s="1">
        <v>1977</v>
      </c>
      <c r="F33" s="1">
        <v>2</v>
      </c>
      <c r="G33" s="1">
        <v>1581.6</v>
      </c>
    </row>
    <row r="34" spans="1:7" x14ac:dyDescent="0.3">
      <c r="A34" s="1" t="s">
        <v>7</v>
      </c>
      <c r="B34" s="1">
        <v>20</v>
      </c>
      <c r="C34" s="1" t="s">
        <v>42</v>
      </c>
      <c r="D34" s="1">
        <v>785</v>
      </c>
      <c r="E34" s="1">
        <v>2220</v>
      </c>
      <c r="F34" s="1">
        <v>8</v>
      </c>
      <c r="G34" s="1">
        <v>7104</v>
      </c>
    </row>
    <row r="35" spans="1:7" x14ac:dyDescent="0.3">
      <c r="A35" s="1" t="s">
        <v>9</v>
      </c>
      <c r="B35" s="1">
        <v>14</v>
      </c>
      <c r="C35" s="1" t="s">
        <v>43</v>
      </c>
      <c r="D35" s="1">
        <v>477</v>
      </c>
      <c r="E35" s="1">
        <v>2918</v>
      </c>
      <c r="F35" s="1">
        <v>6</v>
      </c>
      <c r="G35" s="1">
        <v>7003.2</v>
      </c>
    </row>
    <row r="36" spans="1:7" x14ac:dyDescent="0.3">
      <c r="A36" s="1" t="s">
        <v>7</v>
      </c>
      <c r="B36" s="1">
        <v>4</v>
      </c>
      <c r="C36" s="1" t="s">
        <v>44</v>
      </c>
      <c r="D36" s="1">
        <v>786</v>
      </c>
      <c r="E36" s="1">
        <v>2964</v>
      </c>
      <c r="F36" s="1">
        <v>2</v>
      </c>
      <c r="G36" s="1">
        <v>2371.1999999999998</v>
      </c>
    </row>
    <row r="37" spans="1:7" x14ac:dyDescent="0.3">
      <c r="A37" s="1" t="s">
        <v>11</v>
      </c>
      <c r="B37" s="1">
        <v>9</v>
      </c>
      <c r="C37" s="1" t="s">
        <v>45</v>
      </c>
      <c r="D37" s="1">
        <v>348</v>
      </c>
      <c r="E37" s="1">
        <v>2552</v>
      </c>
      <c r="F37" s="1">
        <v>4</v>
      </c>
      <c r="G37" s="1">
        <v>4083.2</v>
      </c>
    </row>
    <row r="38" spans="1:7" x14ac:dyDescent="0.3">
      <c r="A38" s="1" t="s">
        <v>11</v>
      </c>
      <c r="B38" s="1">
        <v>8</v>
      </c>
      <c r="C38" s="1" t="s">
        <v>46</v>
      </c>
      <c r="D38" s="1">
        <v>631</v>
      </c>
      <c r="E38" s="1">
        <v>2430</v>
      </c>
      <c r="F38" s="1">
        <v>1</v>
      </c>
      <c r="G38" s="1">
        <v>972</v>
      </c>
    </row>
    <row r="39" spans="1:7" x14ac:dyDescent="0.3">
      <c r="A39" s="1" t="s">
        <v>11</v>
      </c>
      <c r="B39" s="1">
        <v>14</v>
      </c>
      <c r="C39" s="1" t="s">
        <v>47</v>
      </c>
      <c r="D39" s="1">
        <v>454</v>
      </c>
      <c r="E39" s="1">
        <v>2083</v>
      </c>
      <c r="F39" s="1">
        <v>5</v>
      </c>
      <c r="G39" s="1">
        <v>4166</v>
      </c>
    </row>
    <row r="40" spans="1:7" x14ac:dyDescent="0.3">
      <c r="A40" s="1" t="s">
        <v>7</v>
      </c>
      <c r="B40" s="1">
        <v>18</v>
      </c>
      <c r="C40" s="1" t="s">
        <v>48</v>
      </c>
      <c r="D40" s="1">
        <v>258</v>
      </c>
      <c r="E40" s="1">
        <v>569</v>
      </c>
      <c r="F40" s="1">
        <v>1</v>
      </c>
      <c r="G40" s="1">
        <v>227.6</v>
      </c>
    </row>
    <row r="41" spans="1:7" x14ac:dyDescent="0.3">
      <c r="A41" s="1" t="s">
        <v>7</v>
      </c>
      <c r="B41" s="1">
        <v>20</v>
      </c>
      <c r="C41" s="1" t="s">
        <v>49</v>
      </c>
      <c r="D41" s="1">
        <v>674</v>
      </c>
      <c r="E41" s="1">
        <v>1331</v>
      </c>
      <c r="F41" s="1">
        <v>3</v>
      </c>
      <c r="G41" s="1">
        <v>1597.2</v>
      </c>
    </row>
    <row r="42" spans="1:7" x14ac:dyDescent="0.3">
      <c r="A42" s="1" t="s">
        <v>9</v>
      </c>
      <c r="B42" s="1">
        <v>6</v>
      </c>
      <c r="C42" s="1" t="s">
        <v>50</v>
      </c>
      <c r="D42" s="1">
        <v>270</v>
      </c>
      <c r="E42" s="1">
        <v>1223</v>
      </c>
      <c r="F42" s="1">
        <v>4</v>
      </c>
      <c r="G42" s="1">
        <v>1956.8</v>
      </c>
    </row>
    <row r="43" spans="1:7" x14ac:dyDescent="0.3">
      <c r="A43" s="1" t="s">
        <v>9</v>
      </c>
      <c r="B43" s="1">
        <v>6</v>
      </c>
      <c r="C43" s="1" t="s">
        <v>51</v>
      </c>
      <c r="D43" s="1">
        <v>262</v>
      </c>
      <c r="E43" s="1">
        <v>2952</v>
      </c>
      <c r="F43" s="1">
        <v>4</v>
      </c>
      <c r="G43" s="1">
        <v>4723.2</v>
      </c>
    </row>
    <row r="44" spans="1:7" x14ac:dyDescent="0.3">
      <c r="A44" s="1" t="s">
        <v>11</v>
      </c>
      <c r="B44" s="1">
        <v>4</v>
      </c>
      <c r="C44" s="1" t="s">
        <v>52</v>
      </c>
      <c r="D44" s="1">
        <v>268</v>
      </c>
      <c r="E44" s="1">
        <v>2353</v>
      </c>
      <c r="F44" s="1">
        <v>4</v>
      </c>
      <c r="G44" s="1">
        <v>3764.8</v>
      </c>
    </row>
    <row r="45" spans="1:7" x14ac:dyDescent="0.3">
      <c r="A45" s="1" t="s">
        <v>9</v>
      </c>
      <c r="B45" s="1">
        <v>13</v>
      </c>
      <c r="C45" s="1" t="s">
        <v>53</v>
      </c>
      <c r="D45" s="1">
        <v>389</v>
      </c>
      <c r="E45" s="1">
        <v>1961</v>
      </c>
      <c r="F45" s="1">
        <v>3</v>
      </c>
      <c r="G45" s="1">
        <v>2353.1999999999998</v>
      </c>
    </row>
    <row r="46" spans="1:7" x14ac:dyDescent="0.3">
      <c r="A46" s="1" t="s">
        <v>7</v>
      </c>
      <c r="B46" s="1">
        <v>8</v>
      </c>
      <c r="C46" s="1" t="s">
        <v>54</v>
      </c>
      <c r="D46" s="1">
        <v>600</v>
      </c>
      <c r="E46" s="1">
        <v>754</v>
      </c>
      <c r="F46" s="1">
        <v>8</v>
      </c>
      <c r="G46" s="1">
        <v>2412.8000000000002</v>
      </c>
    </row>
    <row r="47" spans="1:7" x14ac:dyDescent="0.3">
      <c r="A47" s="1" t="s">
        <v>9</v>
      </c>
      <c r="B47" s="1">
        <v>9</v>
      </c>
      <c r="C47" s="1" t="s">
        <v>55</v>
      </c>
      <c r="D47" s="1">
        <v>629</v>
      </c>
      <c r="E47" s="1">
        <v>2878</v>
      </c>
      <c r="F47" s="1">
        <v>6</v>
      </c>
      <c r="G47" s="1">
        <v>6907.2</v>
      </c>
    </row>
    <row r="48" spans="1:7" x14ac:dyDescent="0.3">
      <c r="A48" s="1" t="s">
        <v>7</v>
      </c>
      <c r="B48" s="1">
        <v>18</v>
      </c>
      <c r="C48" s="1" t="s">
        <v>56</v>
      </c>
      <c r="D48" s="1">
        <v>377</v>
      </c>
      <c r="E48" s="1">
        <v>1733</v>
      </c>
      <c r="F48" s="1">
        <v>5</v>
      </c>
      <c r="G48" s="1">
        <v>3466</v>
      </c>
    </row>
    <row r="49" spans="1:7" x14ac:dyDescent="0.3">
      <c r="A49" s="1" t="s">
        <v>7</v>
      </c>
      <c r="B49" s="1">
        <v>17</v>
      </c>
      <c r="C49" s="1" t="s">
        <v>57</v>
      </c>
      <c r="D49" s="1">
        <v>778</v>
      </c>
      <c r="E49" s="1">
        <v>699</v>
      </c>
      <c r="F49" s="1">
        <v>3</v>
      </c>
      <c r="G49" s="1">
        <v>838.8</v>
      </c>
    </row>
    <row r="50" spans="1:7" x14ac:dyDescent="0.3">
      <c r="A50" s="1" t="s">
        <v>7</v>
      </c>
      <c r="B50" s="1">
        <v>17</v>
      </c>
      <c r="C50" s="1" t="s">
        <v>58</v>
      </c>
      <c r="D50" s="1">
        <v>830</v>
      </c>
      <c r="E50" s="1">
        <v>1225</v>
      </c>
      <c r="F50" s="1">
        <v>3</v>
      </c>
      <c r="G50" s="1">
        <v>1470</v>
      </c>
    </row>
    <row r="51" spans="1:7" x14ac:dyDescent="0.3">
      <c r="A51" s="1" t="s">
        <v>9</v>
      </c>
      <c r="B51" s="1">
        <v>18</v>
      </c>
      <c r="C51" s="1" t="s">
        <v>59</v>
      </c>
      <c r="D51" s="1">
        <v>329</v>
      </c>
      <c r="E51" s="1">
        <v>2666</v>
      </c>
      <c r="F51" s="1">
        <v>1</v>
      </c>
      <c r="G51" s="1">
        <v>1066.4000000000001</v>
      </c>
    </row>
    <row r="52" spans="1:7" x14ac:dyDescent="0.3">
      <c r="A52" s="1" t="s">
        <v>7</v>
      </c>
      <c r="B52" s="1">
        <v>8</v>
      </c>
      <c r="C52" s="1" t="s">
        <v>60</v>
      </c>
      <c r="D52" s="1">
        <v>279</v>
      </c>
      <c r="E52" s="1">
        <v>1469</v>
      </c>
      <c r="F52" s="1">
        <v>1</v>
      </c>
      <c r="G52" s="1">
        <v>587.6</v>
      </c>
    </row>
    <row r="53" spans="1:7" x14ac:dyDescent="0.3">
      <c r="A53" s="1" t="s">
        <v>7</v>
      </c>
      <c r="B53" s="1">
        <v>19</v>
      </c>
      <c r="C53" s="1" t="s">
        <v>61</v>
      </c>
      <c r="D53" s="1">
        <v>426</v>
      </c>
      <c r="E53" s="1">
        <v>1132</v>
      </c>
      <c r="F53" s="1">
        <v>4</v>
      </c>
      <c r="G53" s="1">
        <v>1811.2</v>
      </c>
    </row>
    <row r="54" spans="1:7" x14ac:dyDescent="0.3">
      <c r="A54" s="1" t="s">
        <v>9</v>
      </c>
      <c r="B54" s="1">
        <v>5</v>
      </c>
      <c r="C54" s="1" t="s">
        <v>62</v>
      </c>
      <c r="D54" s="1">
        <v>497</v>
      </c>
      <c r="E54" s="1">
        <v>908</v>
      </c>
      <c r="F54" s="1">
        <v>3</v>
      </c>
      <c r="G54" s="1">
        <v>1089.5999999999999</v>
      </c>
    </row>
    <row r="55" spans="1:7" x14ac:dyDescent="0.3">
      <c r="A55" s="1" t="s">
        <v>7</v>
      </c>
      <c r="B55" s="1">
        <v>13</v>
      </c>
      <c r="C55" s="1" t="s">
        <v>63</v>
      </c>
      <c r="D55" s="1">
        <v>718</v>
      </c>
      <c r="E55" s="1">
        <v>2074</v>
      </c>
      <c r="F55" s="1">
        <v>4</v>
      </c>
      <c r="G55" s="1">
        <v>3318.4</v>
      </c>
    </row>
    <row r="56" spans="1:7" x14ac:dyDescent="0.3">
      <c r="A56" s="1" t="s">
        <v>11</v>
      </c>
      <c r="B56" s="1">
        <v>11</v>
      </c>
      <c r="C56" s="1" t="s">
        <v>64</v>
      </c>
      <c r="D56" s="1">
        <v>314</v>
      </c>
      <c r="E56" s="1">
        <v>1265</v>
      </c>
      <c r="F56" s="1">
        <v>8</v>
      </c>
      <c r="G56" s="1">
        <v>4048</v>
      </c>
    </row>
    <row r="57" spans="1:7" x14ac:dyDescent="0.3">
      <c r="A57" s="1" t="s">
        <v>11</v>
      </c>
      <c r="B57" s="1">
        <v>4</v>
      </c>
      <c r="C57" s="1" t="s">
        <v>65</v>
      </c>
      <c r="D57" s="1">
        <v>427</v>
      </c>
      <c r="E57" s="1">
        <v>1220</v>
      </c>
      <c r="F57" s="1">
        <v>7</v>
      </c>
      <c r="G57" s="1">
        <v>3416</v>
      </c>
    </row>
    <row r="58" spans="1:7" x14ac:dyDescent="0.3">
      <c r="A58" s="1" t="s">
        <v>11</v>
      </c>
      <c r="B58" s="1">
        <v>5</v>
      </c>
      <c r="C58" s="1" t="s">
        <v>66</v>
      </c>
      <c r="D58" s="1">
        <v>788</v>
      </c>
      <c r="E58" s="1">
        <v>2667</v>
      </c>
      <c r="F58" s="1">
        <v>8</v>
      </c>
      <c r="G58" s="1">
        <v>8534.4</v>
      </c>
    </row>
    <row r="59" spans="1:7" x14ac:dyDescent="0.3">
      <c r="A59" s="1" t="s">
        <v>7</v>
      </c>
      <c r="B59" s="1">
        <v>19</v>
      </c>
      <c r="C59" s="1" t="s">
        <v>67</v>
      </c>
      <c r="D59" s="1">
        <v>919</v>
      </c>
      <c r="E59" s="1">
        <v>820</v>
      </c>
      <c r="F59" s="1">
        <v>4</v>
      </c>
      <c r="G59" s="1">
        <v>1312</v>
      </c>
    </row>
    <row r="60" spans="1:7" x14ac:dyDescent="0.3">
      <c r="A60" s="1" t="s">
        <v>9</v>
      </c>
      <c r="B60" s="1">
        <v>14</v>
      </c>
      <c r="C60" s="1" t="s">
        <v>68</v>
      </c>
      <c r="D60" s="1">
        <v>522</v>
      </c>
      <c r="E60" s="1">
        <v>1757</v>
      </c>
      <c r="F60" s="1">
        <v>7</v>
      </c>
      <c r="G60" s="1">
        <v>4919.6000000000004</v>
      </c>
    </row>
    <row r="61" spans="1:7" x14ac:dyDescent="0.3">
      <c r="A61" s="1" t="s">
        <v>11</v>
      </c>
      <c r="B61" s="1">
        <v>10</v>
      </c>
      <c r="C61" s="1" t="s">
        <v>69</v>
      </c>
      <c r="D61" s="1">
        <v>305</v>
      </c>
      <c r="E61" s="1">
        <v>1463</v>
      </c>
      <c r="F61" s="1">
        <v>6</v>
      </c>
      <c r="G61" s="1">
        <v>3511.2</v>
      </c>
    </row>
    <row r="62" spans="1:7" x14ac:dyDescent="0.3">
      <c r="A62" s="1" t="s">
        <v>7</v>
      </c>
      <c r="B62" s="1">
        <v>10</v>
      </c>
      <c r="C62" s="1" t="s">
        <v>70</v>
      </c>
      <c r="D62" s="1">
        <v>537</v>
      </c>
      <c r="E62" s="1">
        <v>1109</v>
      </c>
      <c r="F62" s="1">
        <v>2</v>
      </c>
      <c r="G62" s="1">
        <v>887.2</v>
      </c>
    </row>
    <row r="63" spans="1:7" x14ac:dyDescent="0.3">
      <c r="A63" s="1" t="s">
        <v>7</v>
      </c>
      <c r="B63" s="1">
        <v>7</v>
      </c>
      <c r="C63" s="1" t="s">
        <v>71</v>
      </c>
      <c r="D63" s="1">
        <v>675</v>
      </c>
      <c r="E63" s="1">
        <v>1740</v>
      </c>
      <c r="F63" s="1">
        <v>6</v>
      </c>
      <c r="G63" s="1">
        <v>4176</v>
      </c>
    </row>
    <row r="64" spans="1:7" x14ac:dyDescent="0.3">
      <c r="A64" s="1" t="s">
        <v>11</v>
      </c>
      <c r="B64" s="1">
        <v>10</v>
      </c>
      <c r="C64" s="1" t="s">
        <v>72</v>
      </c>
      <c r="D64" s="1">
        <v>452</v>
      </c>
      <c r="E64" s="1">
        <v>542</v>
      </c>
      <c r="F64" s="1">
        <v>5</v>
      </c>
      <c r="G64" s="1">
        <v>1084</v>
      </c>
    </row>
    <row r="65" spans="1:7" x14ac:dyDescent="0.3">
      <c r="A65" s="1" t="s">
        <v>11</v>
      </c>
      <c r="B65" s="1">
        <v>17</v>
      </c>
      <c r="C65" s="1" t="s">
        <v>73</v>
      </c>
      <c r="D65" s="1">
        <v>894</v>
      </c>
      <c r="E65" s="1">
        <v>2483</v>
      </c>
      <c r="F65" s="1">
        <v>5</v>
      </c>
      <c r="G65" s="1">
        <v>4966</v>
      </c>
    </row>
    <row r="66" spans="1:7" x14ac:dyDescent="0.3">
      <c r="A66" s="1" t="s">
        <v>11</v>
      </c>
      <c r="B66" s="1">
        <v>3</v>
      </c>
      <c r="C66" s="1" t="s">
        <v>74</v>
      </c>
      <c r="D66" s="1">
        <v>432</v>
      </c>
      <c r="E66" s="1">
        <v>511</v>
      </c>
      <c r="F66" s="1">
        <v>5</v>
      </c>
      <c r="G66" s="1">
        <v>1022</v>
      </c>
    </row>
    <row r="67" spans="1:7" x14ac:dyDescent="0.3">
      <c r="A67" s="1" t="s">
        <v>9</v>
      </c>
      <c r="B67" s="1">
        <v>8</v>
      </c>
      <c r="C67" s="1" t="s">
        <v>75</v>
      </c>
      <c r="D67" s="1">
        <v>267</v>
      </c>
      <c r="E67" s="1">
        <v>2759</v>
      </c>
      <c r="F67" s="1">
        <v>4</v>
      </c>
      <c r="G67" s="1">
        <v>4414.3999999999996</v>
      </c>
    </row>
    <row r="68" spans="1:7" x14ac:dyDescent="0.3">
      <c r="A68" s="1" t="s">
        <v>7</v>
      </c>
      <c r="B68" s="1">
        <v>4</v>
      </c>
      <c r="C68" s="1" t="s">
        <v>76</v>
      </c>
      <c r="D68" s="1">
        <v>785</v>
      </c>
      <c r="E68" s="1">
        <v>1024</v>
      </c>
      <c r="F68" s="1">
        <v>5</v>
      </c>
      <c r="G68" s="1">
        <v>2048</v>
      </c>
    </row>
    <row r="69" spans="1:7" x14ac:dyDescent="0.3">
      <c r="A69" s="1" t="s">
        <v>7</v>
      </c>
      <c r="B69" s="1">
        <v>13</v>
      </c>
      <c r="C69" s="1" t="s">
        <v>77</v>
      </c>
      <c r="D69" s="1">
        <v>923</v>
      </c>
      <c r="E69" s="1">
        <v>2050</v>
      </c>
      <c r="F69" s="1">
        <v>6</v>
      </c>
      <c r="G69" s="1">
        <v>4920</v>
      </c>
    </row>
    <row r="70" spans="1:7" x14ac:dyDescent="0.3">
      <c r="A70" s="1" t="s">
        <v>11</v>
      </c>
      <c r="B70" s="1">
        <v>13</v>
      </c>
      <c r="C70" s="1" t="s">
        <v>78</v>
      </c>
      <c r="D70" s="1">
        <v>704</v>
      </c>
      <c r="E70" s="1">
        <v>1708</v>
      </c>
      <c r="F70" s="1">
        <v>8</v>
      </c>
      <c r="G70" s="1">
        <v>5465.6</v>
      </c>
    </row>
    <row r="71" spans="1:7" x14ac:dyDescent="0.3">
      <c r="A71" s="1" t="s">
        <v>7</v>
      </c>
      <c r="B71" s="1">
        <v>11</v>
      </c>
      <c r="C71" s="1" t="s">
        <v>79</v>
      </c>
      <c r="D71" s="1">
        <v>732</v>
      </c>
      <c r="E71" s="1">
        <v>1809</v>
      </c>
      <c r="F71" s="1">
        <v>2</v>
      </c>
      <c r="G71" s="1">
        <v>1447.2</v>
      </c>
    </row>
    <row r="72" spans="1:7" x14ac:dyDescent="0.3">
      <c r="A72" s="1" t="s">
        <v>9</v>
      </c>
      <c r="B72" s="1">
        <v>20</v>
      </c>
      <c r="C72" s="1" t="s">
        <v>80</v>
      </c>
      <c r="D72" s="1">
        <v>708</v>
      </c>
      <c r="E72" s="1">
        <v>1546</v>
      </c>
      <c r="F72" s="1">
        <v>8</v>
      </c>
      <c r="G72" s="1">
        <v>4947.2</v>
      </c>
    </row>
    <row r="73" spans="1:7" x14ac:dyDescent="0.3">
      <c r="A73" s="1" t="s">
        <v>11</v>
      </c>
      <c r="B73" s="1">
        <v>18</v>
      </c>
      <c r="C73" s="1" t="s">
        <v>81</v>
      </c>
      <c r="D73" s="1">
        <v>993</v>
      </c>
      <c r="E73" s="1">
        <v>1835</v>
      </c>
      <c r="F73" s="1">
        <v>6</v>
      </c>
      <c r="G73" s="1">
        <v>4404</v>
      </c>
    </row>
    <row r="74" spans="1:7" x14ac:dyDescent="0.3">
      <c r="A74" s="1" t="s">
        <v>7</v>
      </c>
      <c r="B74" s="1">
        <v>3</v>
      </c>
      <c r="C74" s="1" t="s">
        <v>82</v>
      </c>
      <c r="D74" s="1">
        <v>452</v>
      </c>
      <c r="E74" s="1">
        <v>1333</v>
      </c>
      <c r="F74" s="1">
        <v>7</v>
      </c>
      <c r="G74" s="1">
        <v>3732.4</v>
      </c>
    </row>
    <row r="75" spans="1:7" x14ac:dyDescent="0.3">
      <c r="A75" s="1" t="s">
        <v>11</v>
      </c>
      <c r="B75" s="1">
        <v>15</v>
      </c>
      <c r="C75" s="1" t="s">
        <v>83</v>
      </c>
      <c r="D75" s="1">
        <v>774</v>
      </c>
      <c r="E75" s="1">
        <v>2737</v>
      </c>
      <c r="F75" s="1">
        <v>8</v>
      </c>
      <c r="G75" s="1">
        <v>8758.4</v>
      </c>
    </row>
    <row r="76" spans="1:7" x14ac:dyDescent="0.3">
      <c r="A76" s="1" t="s">
        <v>11</v>
      </c>
      <c r="B76" s="1">
        <v>12</v>
      </c>
      <c r="C76" s="1" t="s">
        <v>84</v>
      </c>
      <c r="D76" s="1">
        <v>408</v>
      </c>
      <c r="E76" s="1">
        <v>542</v>
      </c>
      <c r="F76" s="1">
        <v>7</v>
      </c>
      <c r="G76" s="1">
        <v>1517.6</v>
      </c>
    </row>
    <row r="77" spans="1:7" x14ac:dyDescent="0.3">
      <c r="A77" s="1" t="s">
        <v>7</v>
      </c>
      <c r="B77" s="1">
        <v>8</v>
      </c>
      <c r="C77" s="1" t="s">
        <v>85</v>
      </c>
      <c r="D77" s="1">
        <v>843</v>
      </c>
      <c r="E77" s="1">
        <v>1079</v>
      </c>
      <c r="F77" s="1">
        <v>2</v>
      </c>
      <c r="G77" s="1">
        <v>863.2</v>
      </c>
    </row>
    <row r="78" spans="1:7" x14ac:dyDescent="0.3">
      <c r="A78" s="1" t="s">
        <v>7</v>
      </c>
      <c r="B78" s="1">
        <v>8</v>
      </c>
      <c r="C78" s="1" t="s">
        <v>86</v>
      </c>
      <c r="D78" s="1">
        <v>942</v>
      </c>
      <c r="E78" s="1">
        <v>2330</v>
      </c>
      <c r="F78" s="1">
        <v>6</v>
      </c>
      <c r="G78" s="1">
        <v>5592</v>
      </c>
    </row>
    <row r="79" spans="1:7" x14ac:dyDescent="0.3">
      <c r="A79" s="1" t="s">
        <v>9</v>
      </c>
      <c r="B79" s="1">
        <v>10</v>
      </c>
      <c r="C79" s="1" t="s">
        <v>87</v>
      </c>
      <c r="D79" s="1">
        <v>383</v>
      </c>
      <c r="E79" s="1">
        <v>700</v>
      </c>
      <c r="F79" s="1">
        <v>2</v>
      </c>
      <c r="G79" s="1">
        <v>560</v>
      </c>
    </row>
    <row r="80" spans="1:7" x14ac:dyDescent="0.3">
      <c r="A80" s="1" t="s">
        <v>7</v>
      </c>
      <c r="B80" s="1">
        <v>16</v>
      </c>
      <c r="C80" s="1" t="s">
        <v>88</v>
      </c>
      <c r="D80" s="1">
        <v>244</v>
      </c>
      <c r="E80" s="1">
        <v>2711</v>
      </c>
      <c r="F80" s="1">
        <v>1</v>
      </c>
      <c r="G80" s="1">
        <v>1084.4000000000001</v>
      </c>
    </row>
    <row r="81" spans="1:7" x14ac:dyDescent="0.3">
      <c r="A81" s="1" t="s">
        <v>7</v>
      </c>
      <c r="B81" s="1">
        <v>16</v>
      </c>
      <c r="C81" s="1" t="s">
        <v>89</v>
      </c>
      <c r="D81" s="1">
        <v>881</v>
      </c>
      <c r="E81" s="1">
        <v>1388</v>
      </c>
      <c r="F81" s="1">
        <v>2</v>
      </c>
      <c r="G81" s="1">
        <v>1110.4000000000001</v>
      </c>
    </row>
    <row r="82" spans="1:7" x14ac:dyDescent="0.3">
      <c r="A82" s="1" t="s">
        <v>9</v>
      </c>
      <c r="B82" s="1">
        <v>18</v>
      </c>
      <c r="C82" s="1" t="s">
        <v>90</v>
      </c>
      <c r="D82" s="1">
        <v>930</v>
      </c>
      <c r="E82" s="1">
        <v>1906</v>
      </c>
      <c r="F82" s="1">
        <v>6</v>
      </c>
      <c r="G82" s="1">
        <v>4574.3999999999996</v>
      </c>
    </row>
    <row r="83" spans="1:7" x14ac:dyDescent="0.3">
      <c r="A83" s="1" t="s">
        <v>7</v>
      </c>
      <c r="B83" s="1">
        <v>15</v>
      </c>
      <c r="C83" s="1" t="s">
        <v>91</v>
      </c>
      <c r="D83" s="1">
        <v>748</v>
      </c>
      <c r="E83" s="1">
        <v>2314</v>
      </c>
      <c r="F83" s="1">
        <v>4</v>
      </c>
      <c r="G83" s="1">
        <v>3702.4</v>
      </c>
    </row>
    <row r="84" spans="1:7" x14ac:dyDescent="0.3">
      <c r="A84" s="1" t="s">
        <v>9</v>
      </c>
      <c r="B84" s="1">
        <v>5</v>
      </c>
      <c r="C84" s="1" t="s">
        <v>92</v>
      </c>
      <c r="D84" s="1">
        <v>747</v>
      </c>
      <c r="E84" s="1">
        <v>2036</v>
      </c>
      <c r="F84" s="1">
        <v>6</v>
      </c>
      <c r="G84" s="1">
        <v>4886.3999999999996</v>
      </c>
    </row>
    <row r="85" spans="1:7" x14ac:dyDescent="0.3">
      <c r="A85" s="1" t="s">
        <v>7</v>
      </c>
      <c r="B85" s="1">
        <v>11</v>
      </c>
      <c r="C85" s="1" t="s">
        <v>93</v>
      </c>
      <c r="D85" s="1">
        <v>928</v>
      </c>
      <c r="E85" s="1">
        <v>2725</v>
      </c>
      <c r="F85" s="1">
        <v>8</v>
      </c>
      <c r="G85" s="1">
        <v>8720</v>
      </c>
    </row>
    <row r="86" spans="1:7" x14ac:dyDescent="0.3">
      <c r="A86" s="1" t="s">
        <v>9</v>
      </c>
      <c r="B86" s="1">
        <v>11</v>
      </c>
      <c r="C86" s="1" t="s">
        <v>94</v>
      </c>
      <c r="D86" s="1">
        <v>731</v>
      </c>
      <c r="E86" s="1">
        <v>1992</v>
      </c>
      <c r="F86" s="1">
        <v>4</v>
      </c>
      <c r="G86" s="1">
        <v>3187.2</v>
      </c>
    </row>
    <row r="87" spans="1:7" x14ac:dyDescent="0.3">
      <c r="A87" s="1" t="s">
        <v>11</v>
      </c>
      <c r="B87" s="1">
        <v>3</v>
      </c>
      <c r="C87" s="1" t="s">
        <v>95</v>
      </c>
      <c r="D87" s="1">
        <v>277</v>
      </c>
      <c r="E87" s="1">
        <v>2608</v>
      </c>
      <c r="F87" s="1">
        <v>1</v>
      </c>
      <c r="G87" s="1">
        <v>1043.2</v>
      </c>
    </row>
    <row r="88" spans="1:7" x14ac:dyDescent="0.3">
      <c r="A88" s="1" t="s">
        <v>7</v>
      </c>
      <c r="B88" s="1">
        <v>16</v>
      </c>
      <c r="C88" s="1" t="s">
        <v>96</v>
      </c>
      <c r="D88" s="1">
        <v>222</v>
      </c>
      <c r="E88" s="1">
        <v>1026</v>
      </c>
      <c r="F88" s="1">
        <v>5</v>
      </c>
      <c r="G88" s="1">
        <v>2052</v>
      </c>
    </row>
    <row r="89" spans="1:7" x14ac:dyDescent="0.3">
      <c r="A89" s="1" t="s">
        <v>9</v>
      </c>
      <c r="B89" s="1">
        <v>12</v>
      </c>
      <c r="C89" s="1" t="s">
        <v>97</v>
      </c>
      <c r="D89" s="1">
        <v>256</v>
      </c>
      <c r="E89" s="1">
        <v>1022</v>
      </c>
      <c r="F89" s="1">
        <v>4</v>
      </c>
      <c r="G89" s="1">
        <v>1635.2</v>
      </c>
    </row>
    <row r="90" spans="1:7" x14ac:dyDescent="0.3">
      <c r="A90" s="1" t="s">
        <v>9</v>
      </c>
      <c r="B90" s="1">
        <v>4</v>
      </c>
      <c r="C90" s="1" t="s">
        <v>98</v>
      </c>
      <c r="D90" s="1">
        <v>630</v>
      </c>
      <c r="E90" s="1">
        <v>2640</v>
      </c>
      <c r="F90" s="1">
        <v>1</v>
      </c>
      <c r="G90" s="1">
        <v>1056</v>
      </c>
    </row>
    <row r="91" spans="1:7" x14ac:dyDescent="0.3">
      <c r="A91" s="1" t="s">
        <v>11</v>
      </c>
      <c r="B91" s="1">
        <v>15</v>
      </c>
      <c r="C91" s="1" t="s">
        <v>99</v>
      </c>
      <c r="D91" s="1">
        <v>662</v>
      </c>
      <c r="E91" s="1">
        <v>2950</v>
      </c>
      <c r="F91" s="1">
        <v>4</v>
      </c>
      <c r="G91" s="1">
        <v>4720</v>
      </c>
    </row>
    <row r="92" spans="1:7" x14ac:dyDescent="0.3">
      <c r="A92" s="1" t="s">
        <v>7</v>
      </c>
      <c r="B92" s="1">
        <v>3</v>
      </c>
      <c r="C92" s="1" t="s">
        <v>100</v>
      </c>
      <c r="D92" s="1">
        <v>977</v>
      </c>
      <c r="E92" s="1">
        <v>1495</v>
      </c>
      <c r="F92" s="1">
        <v>7</v>
      </c>
      <c r="G92" s="1">
        <v>4186</v>
      </c>
    </row>
    <row r="93" spans="1:7" x14ac:dyDescent="0.3">
      <c r="A93" s="1" t="s">
        <v>11</v>
      </c>
      <c r="B93" s="1">
        <v>20</v>
      </c>
      <c r="C93" s="1" t="s">
        <v>101</v>
      </c>
      <c r="D93" s="1">
        <v>970</v>
      </c>
      <c r="E93" s="1">
        <v>2157</v>
      </c>
      <c r="F93" s="1">
        <v>1</v>
      </c>
      <c r="G93" s="1">
        <v>862.8</v>
      </c>
    </row>
    <row r="94" spans="1:7" x14ac:dyDescent="0.3">
      <c r="A94" s="1" t="s">
        <v>11</v>
      </c>
      <c r="B94" s="1">
        <v>6</v>
      </c>
      <c r="C94" s="1" t="s">
        <v>102</v>
      </c>
      <c r="D94" s="1">
        <v>510</v>
      </c>
      <c r="E94" s="1">
        <v>2134</v>
      </c>
      <c r="F94" s="1">
        <v>5</v>
      </c>
      <c r="G94" s="1">
        <v>4268</v>
      </c>
    </row>
    <row r="95" spans="1:7" x14ac:dyDescent="0.3">
      <c r="A95" s="1" t="s">
        <v>9</v>
      </c>
      <c r="B95" s="1">
        <v>5</v>
      </c>
      <c r="C95" s="1" t="s">
        <v>103</v>
      </c>
      <c r="D95" s="1">
        <v>733</v>
      </c>
      <c r="E95" s="1">
        <v>1013</v>
      </c>
      <c r="F95" s="1">
        <v>3</v>
      </c>
      <c r="G95" s="1">
        <v>1215.5999999999999</v>
      </c>
    </row>
    <row r="96" spans="1:7" x14ac:dyDescent="0.3">
      <c r="A96" s="1" t="s">
        <v>11</v>
      </c>
      <c r="B96" s="1">
        <v>5</v>
      </c>
      <c r="C96" s="1" t="s">
        <v>104</v>
      </c>
      <c r="D96" s="1">
        <v>558</v>
      </c>
      <c r="E96" s="1">
        <v>1297</v>
      </c>
      <c r="F96" s="1">
        <v>1</v>
      </c>
      <c r="G96" s="1">
        <v>518.79999999999995</v>
      </c>
    </row>
    <row r="97" spans="1:7" x14ac:dyDescent="0.3">
      <c r="A97" s="1" t="s">
        <v>9</v>
      </c>
      <c r="B97" s="1">
        <v>6</v>
      </c>
      <c r="C97" s="1" t="s">
        <v>105</v>
      </c>
      <c r="D97" s="1">
        <v>735</v>
      </c>
      <c r="E97" s="1">
        <v>1245</v>
      </c>
      <c r="F97" s="1">
        <v>5</v>
      </c>
      <c r="G97" s="1">
        <v>2490</v>
      </c>
    </row>
    <row r="98" spans="1:7" x14ac:dyDescent="0.3">
      <c r="A98" s="1" t="s">
        <v>7</v>
      </c>
      <c r="B98" s="1">
        <v>5</v>
      </c>
      <c r="C98" s="1" t="s">
        <v>106</v>
      </c>
      <c r="D98" s="1">
        <v>374</v>
      </c>
      <c r="E98" s="1">
        <v>2800</v>
      </c>
      <c r="F98" s="1">
        <v>6</v>
      </c>
      <c r="G98" s="1">
        <v>6720</v>
      </c>
    </row>
    <row r="99" spans="1:7" x14ac:dyDescent="0.3">
      <c r="A99" s="1" t="s">
        <v>11</v>
      </c>
      <c r="B99" s="1">
        <v>4</v>
      </c>
      <c r="C99" s="1" t="s">
        <v>107</v>
      </c>
      <c r="D99" s="1">
        <v>573</v>
      </c>
      <c r="E99" s="1">
        <v>1221</v>
      </c>
      <c r="F99" s="1">
        <v>2</v>
      </c>
      <c r="G99" s="1">
        <v>976.8</v>
      </c>
    </row>
    <row r="100" spans="1:7" x14ac:dyDescent="0.3">
      <c r="A100" s="1" t="s">
        <v>11</v>
      </c>
      <c r="B100" s="1">
        <v>6</v>
      </c>
      <c r="C100" s="1" t="s">
        <v>108</v>
      </c>
      <c r="D100" s="1">
        <v>802</v>
      </c>
      <c r="E100" s="1">
        <v>944</v>
      </c>
      <c r="F100" s="1">
        <v>7</v>
      </c>
      <c r="G100" s="1">
        <v>2643.2</v>
      </c>
    </row>
    <row r="101" spans="1:7" x14ac:dyDescent="0.3">
      <c r="A101" s="1" t="s">
        <v>11</v>
      </c>
      <c r="B101" s="1">
        <v>18</v>
      </c>
      <c r="C101" s="1" t="s">
        <v>109</v>
      </c>
      <c r="D101" s="1">
        <v>979</v>
      </c>
      <c r="E101" s="1">
        <v>1186</v>
      </c>
      <c r="F101" s="1">
        <v>2</v>
      </c>
      <c r="G101" s="1">
        <v>948.8</v>
      </c>
    </row>
    <row r="102" spans="1:7" x14ac:dyDescent="0.3">
      <c r="A102" s="1" t="s">
        <v>9</v>
      </c>
      <c r="B102" s="1">
        <v>14</v>
      </c>
      <c r="C102" s="1" t="s">
        <v>110</v>
      </c>
      <c r="D102" s="1">
        <v>336</v>
      </c>
      <c r="E102" s="1">
        <v>2865</v>
      </c>
      <c r="F102" s="1">
        <v>6</v>
      </c>
      <c r="G102" s="1">
        <v>6876</v>
      </c>
    </row>
    <row r="103" spans="1:7" x14ac:dyDescent="0.3">
      <c r="A103" s="1" t="s">
        <v>9</v>
      </c>
      <c r="B103" s="1">
        <v>4</v>
      </c>
      <c r="C103" s="1" t="s">
        <v>111</v>
      </c>
      <c r="D103" s="1">
        <v>314</v>
      </c>
      <c r="E103" s="1">
        <v>1650</v>
      </c>
      <c r="F103" s="1">
        <v>7</v>
      </c>
      <c r="G103" s="1">
        <v>4620</v>
      </c>
    </row>
    <row r="104" spans="1:7" x14ac:dyDescent="0.3">
      <c r="A104" s="1" t="s">
        <v>11</v>
      </c>
      <c r="B104" s="1">
        <v>14</v>
      </c>
      <c r="C104" s="1" t="s">
        <v>112</v>
      </c>
      <c r="D104" s="1">
        <v>687</v>
      </c>
      <c r="E104" s="1">
        <v>2338</v>
      </c>
      <c r="F104" s="1">
        <v>5</v>
      </c>
      <c r="G104" s="1">
        <v>4676</v>
      </c>
    </row>
    <row r="105" spans="1:7" x14ac:dyDescent="0.3">
      <c r="A105" s="1" t="s">
        <v>11</v>
      </c>
      <c r="B105" s="1">
        <v>3</v>
      </c>
      <c r="C105" s="1" t="s">
        <v>113</v>
      </c>
      <c r="D105" s="1">
        <v>414</v>
      </c>
      <c r="E105" s="1">
        <v>2961</v>
      </c>
      <c r="F105" s="1">
        <v>2</v>
      </c>
      <c r="G105" s="1">
        <v>2368.8000000000002</v>
      </c>
    </row>
    <row r="106" spans="1:7" x14ac:dyDescent="0.3">
      <c r="A106" s="1" t="s">
        <v>7</v>
      </c>
      <c r="B106" s="1">
        <v>6</v>
      </c>
      <c r="C106" s="1" t="s">
        <v>114</v>
      </c>
      <c r="D106" s="1">
        <v>320</v>
      </c>
      <c r="E106" s="1">
        <v>2581</v>
      </c>
      <c r="F106" s="1">
        <v>1</v>
      </c>
      <c r="G106" s="1">
        <v>1032.4000000000001</v>
      </c>
    </row>
    <row r="107" spans="1:7" x14ac:dyDescent="0.3">
      <c r="A107" s="1" t="s">
        <v>7</v>
      </c>
      <c r="B107" s="1">
        <v>4</v>
      </c>
      <c r="C107" s="1" t="s">
        <v>115</v>
      </c>
      <c r="D107" s="1">
        <v>716</v>
      </c>
      <c r="E107" s="1">
        <v>2929</v>
      </c>
      <c r="F107" s="1">
        <v>5</v>
      </c>
      <c r="G107" s="1">
        <v>5858</v>
      </c>
    </row>
    <row r="108" spans="1:7" x14ac:dyDescent="0.3">
      <c r="A108" s="1" t="s">
        <v>7</v>
      </c>
      <c r="B108" s="1">
        <v>8</v>
      </c>
      <c r="C108" s="1" t="s">
        <v>116</v>
      </c>
      <c r="D108" s="1">
        <v>656</v>
      </c>
      <c r="E108" s="1">
        <v>1632</v>
      </c>
      <c r="F108" s="1">
        <v>3</v>
      </c>
      <c r="G108" s="1">
        <v>1958.4</v>
      </c>
    </row>
    <row r="109" spans="1:7" x14ac:dyDescent="0.3">
      <c r="A109" s="1" t="s">
        <v>11</v>
      </c>
      <c r="B109" s="1">
        <v>5</v>
      </c>
      <c r="C109" s="1" t="s">
        <v>117</v>
      </c>
      <c r="D109" s="1">
        <v>273</v>
      </c>
      <c r="E109" s="1">
        <v>2499</v>
      </c>
      <c r="F109" s="1">
        <v>2</v>
      </c>
      <c r="G109" s="1">
        <v>1999.2</v>
      </c>
    </row>
    <row r="110" spans="1:7" x14ac:dyDescent="0.3">
      <c r="A110" s="1" t="s">
        <v>11</v>
      </c>
      <c r="B110" s="1">
        <v>14</v>
      </c>
      <c r="C110" s="1" t="s">
        <v>118</v>
      </c>
      <c r="D110" s="1">
        <v>615</v>
      </c>
      <c r="E110" s="1">
        <v>2643</v>
      </c>
      <c r="F110" s="1">
        <v>3</v>
      </c>
      <c r="G110" s="1">
        <v>3171.6</v>
      </c>
    </row>
    <row r="111" spans="1:7" x14ac:dyDescent="0.3">
      <c r="A111" s="1" t="s">
        <v>9</v>
      </c>
      <c r="B111" s="1">
        <v>8</v>
      </c>
      <c r="C111" s="1" t="s">
        <v>119</v>
      </c>
      <c r="D111" s="1">
        <v>933</v>
      </c>
      <c r="E111" s="1">
        <v>2871</v>
      </c>
      <c r="F111" s="1">
        <v>3</v>
      </c>
      <c r="G111" s="1">
        <v>3445.2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A117C-060C-4A32-8C3F-E72E7A852595}">
  <dimension ref="A1:F15"/>
  <sheetViews>
    <sheetView workbookViewId="0">
      <selection activeCell="D18" sqref="D18"/>
    </sheetView>
  </sheetViews>
  <sheetFormatPr defaultRowHeight="14.4" x14ac:dyDescent="0.3"/>
  <cols>
    <col min="1" max="1" width="16.5546875" bestFit="1" customWidth="1"/>
    <col min="2" max="2" width="10.5546875" customWidth="1"/>
    <col min="5" max="5" width="16.5546875" bestFit="1" customWidth="1"/>
  </cols>
  <sheetData>
    <row r="1" spans="1:6" x14ac:dyDescent="0.3">
      <c r="A1" s="3" t="s">
        <v>4</v>
      </c>
      <c r="B1" s="3" t="s">
        <v>133</v>
      </c>
      <c r="E1" s="3" t="s">
        <v>6</v>
      </c>
      <c r="F1" s="3" t="s">
        <v>133</v>
      </c>
    </row>
    <row r="2" spans="1:6" x14ac:dyDescent="0.3">
      <c r="A2" s="2"/>
      <c r="B2" s="2"/>
      <c r="E2" s="2"/>
      <c r="F2" s="2"/>
    </row>
    <row r="3" spans="1:6" x14ac:dyDescent="0.3">
      <c r="A3" s="2" t="s">
        <v>120</v>
      </c>
      <c r="B3" s="2">
        <f>AVERAGE(Table1[[#All],[Price]])</f>
        <v>1893.1272727272728</v>
      </c>
      <c r="E3" s="2" t="s">
        <v>120</v>
      </c>
      <c r="F3" s="2">
        <v>3198.1163636363644</v>
      </c>
    </row>
    <row r="4" spans="1:6" x14ac:dyDescent="0.3">
      <c r="A4" s="2" t="s">
        <v>121</v>
      </c>
      <c r="B4" s="2">
        <v>69.085775587349161</v>
      </c>
      <c r="E4" s="2" t="s">
        <v>121</v>
      </c>
      <c r="F4" s="2">
        <v>202.19309716950752</v>
      </c>
    </row>
    <row r="5" spans="1:6" x14ac:dyDescent="0.3">
      <c r="A5" s="2" t="s">
        <v>122</v>
      </c>
      <c r="B5" s="2">
        <v>1959.5</v>
      </c>
      <c r="E5" s="2" t="s">
        <v>122</v>
      </c>
      <c r="F5" s="2">
        <v>2728.8</v>
      </c>
    </row>
    <row r="6" spans="1:6" x14ac:dyDescent="0.3">
      <c r="A6" s="2" t="s">
        <v>123</v>
      </c>
      <c r="B6" s="2">
        <v>2581</v>
      </c>
      <c r="E6" s="2" t="s">
        <v>124</v>
      </c>
      <c r="F6" s="2">
        <v>2120.6190935030672</v>
      </c>
    </row>
    <row r="7" spans="1:6" x14ac:dyDescent="0.3">
      <c r="A7" s="2" t="s">
        <v>124</v>
      </c>
      <c r="B7" s="2">
        <v>724.57772718709248</v>
      </c>
      <c r="E7" s="2" t="s">
        <v>125</v>
      </c>
      <c r="F7" s="2">
        <v>4497025.339729771</v>
      </c>
    </row>
    <row r="8" spans="1:6" x14ac:dyDescent="0.3">
      <c r="A8" s="2" t="s">
        <v>125</v>
      </c>
      <c r="B8" s="2">
        <v>525012.88273561269</v>
      </c>
      <c r="E8" s="2" t="s">
        <v>126</v>
      </c>
      <c r="F8" s="2">
        <v>6.4039829148208938E-2</v>
      </c>
    </row>
    <row r="9" spans="1:6" x14ac:dyDescent="0.3">
      <c r="A9" s="2" t="s">
        <v>126</v>
      </c>
      <c r="B9" s="2">
        <v>-1.1181262777888517</v>
      </c>
      <c r="E9" s="2" t="s">
        <v>127</v>
      </c>
      <c r="F9" s="2">
        <v>0.78834310715847433</v>
      </c>
    </row>
    <row r="10" spans="1:6" x14ac:dyDescent="0.3">
      <c r="A10" s="2" t="s">
        <v>127</v>
      </c>
      <c r="B10" s="2">
        <v>-0.19932962755441222</v>
      </c>
      <c r="E10" s="2" t="s">
        <v>128</v>
      </c>
      <c r="F10" s="2">
        <v>9122.7999999999993</v>
      </c>
    </row>
    <row r="11" spans="1:6" x14ac:dyDescent="0.3">
      <c r="A11" s="2" t="s">
        <v>128</v>
      </c>
      <c r="B11" s="2">
        <v>2464</v>
      </c>
      <c r="E11" s="2" t="s">
        <v>129</v>
      </c>
      <c r="F11" s="2">
        <v>227.6</v>
      </c>
    </row>
    <row r="12" spans="1:6" x14ac:dyDescent="0.3">
      <c r="A12" s="2" t="s">
        <v>129</v>
      </c>
      <c r="B12" s="2">
        <v>500</v>
      </c>
      <c r="E12" s="2" t="s">
        <v>130</v>
      </c>
      <c r="F12" s="2">
        <v>9350.4</v>
      </c>
    </row>
    <row r="13" spans="1:6" x14ac:dyDescent="0.3">
      <c r="A13" s="2" t="s">
        <v>130</v>
      </c>
      <c r="B13" s="2">
        <v>2964</v>
      </c>
      <c r="E13" s="2" t="s">
        <v>131</v>
      </c>
      <c r="F13" s="2">
        <v>351792.8000000001</v>
      </c>
    </row>
    <row r="14" spans="1:6" x14ac:dyDescent="0.3">
      <c r="A14" s="2" t="s">
        <v>131</v>
      </c>
      <c r="B14" s="2">
        <v>208244</v>
      </c>
      <c r="E14" s="2" t="s">
        <v>132</v>
      </c>
      <c r="F14" s="2">
        <v>110</v>
      </c>
    </row>
    <row r="15" spans="1:6" x14ac:dyDescent="0.3">
      <c r="A15" s="2" t="s">
        <v>132</v>
      </c>
      <c r="B15" s="2">
        <v>110</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CD649-73DF-443E-9E04-CF877DAED04F}">
  <dimension ref="A2:Q14"/>
  <sheetViews>
    <sheetView workbookViewId="0">
      <selection activeCell="L21" sqref="L21"/>
    </sheetView>
  </sheetViews>
  <sheetFormatPr defaultRowHeight="14.4" x14ac:dyDescent="0.3"/>
  <cols>
    <col min="1" max="1" width="12.5546875" bestFit="1" customWidth="1"/>
    <col min="2" max="3" width="16.88671875" bestFit="1" customWidth="1"/>
  </cols>
  <sheetData>
    <row r="2" spans="1:17" x14ac:dyDescent="0.3">
      <c r="L2" s="13"/>
      <c r="M2" s="13"/>
      <c r="N2" s="13"/>
      <c r="O2" s="13"/>
      <c r="P2" s="13"/>
      <c r="Q2" s="13"/>
    </row>
    <row r="3" spans="1:17" x14ac:dyDescent="0.3">
      <c r="A3" s="4" t="s">
        <v>134</v>
      </c>
      <c r="B3" t="s">
        <v>136</v>
      </c>
      <c r="L3" s="13"/>
      <c r="M3" s="13"/>
      <c r="N3" s="13"/>
      <c r="O3" s="13"/>
      <c r="P3" s="13"/>
      <c r="Q3" s="13"/>
    </row>
    <row r="4" spans="1:17" x14ac:dyDescent="0.3">
      <c r="A4" s="5" t="s">
        <v>9</v>
      </c>
      <c r="B4" s="6">
        <v>120021.2</v>
      </c>
      <c r="L4" s="13"/>
      <c r="M4" s="13"/>
      <c r="N4" s="13"/>
      <c r="O4" s="13"/>
      <c r="P4" s="13"/>
      <c r="Q4" s="13"/>
    </row>
    <row r="5" spans="1:17" x14ac:dyDescent="0.3">
      <c r="A5" s="5" t="s">
        <v>11</v>
      </c>
      <c r="B5" s="6">
        <v>106852.8</v>
      </c>
      <c r="L5" s="13"/>
      <c r="M5" s="13"/>
      <c r="N5" s="13"/>
      <c r="O5" s="13"/>
      <c r="P5" s="13"/>
      <c r="Q5" s="13"/>
    </row>
    <row r="6" spans="1:17" x14ac:dyDescent="0.3">
      <c r="A6" s="5" t="s">
        <v>7</v>
      </c>
      <c r="B6" s="6">
        <v>124918.8</v>
      </c>
      <c r="L6" s="13"/>
      <c r="M6" s="13"/>
      <c r="N6" s="13"/>
      <c r="O6" s="13"/>
      <c r="P6" s="13"/>
      <c r="Q6" s="13"/>
    </row>
    <row r="7" spans="1:17" x14ac:dyDescent="0.3">
      <c r="A7" s="5" t="s">
        <v>135</v>
      </c>
      <c r="B7" s="6">
        <v>351792.8</v>
      </c>
      <c r="L7" s="13"/>
      <c r="M7" s="13"/>
      <c r="N7" s="13"/>
      <c r="O7" s="13"/>
      <c r="P7" s="13"/>
      <c r="Q7" s="13"/>
    </row>
    <row r="8" spans="1:17" x14ac:dyDescent="0.3">
      <c r="L8" s="13"/>
      <c r="M8" s="13"/>
      <c r="N8" s="13"/>
      <c r="O8" s="13"/>
      <c r="P8" s="13"/>
      <c r="Q8" s="13"/>
    </row>
    <row r="9" spans="1:17" x14ac:dyDescent="0.3">
      <c r="L9" s="13"/>
      <c r="M9" s="13"/>
      <c r="N9" s="13"/>
      <c r="O9" s="13"/>
      <c r="P9" s="13"/>
      <c r="Q9" s="13"/>
    </row>
    <row r="10" spans="1:17" x14ac:dyDescent="0.3">
      <c r="L10" s="13"/>
      <c r="M10" s="13"/>
      <c r="N10" s="13"/>
      <c r="O10" s="13"/>
      <c r="P10" s="13"/>
      <c r="Q10" s="13"/>
    </row>
    <row r="11" spans="1:17" x14ac:dyDescent="0.3">
      <c r="L11" s="13"/>
      <c r="M11" s="13"/>
      <c r="N11" s="13"/>
      <c r="O11" s="13"/>
      <c r="P11" s="13"/>
      <c r="Q11" s="13"/>
    </row>
    <row r="12" spans="1:17" x14ac:dyDescent="0.3">
      <c r="L12" s="13"/>
      <c r="M12" s="13"/>
      <c r="N12" s="13"/>
      <c r="O12" s="13"/>
      <c r="P12" s="13"/>
      <c r="Q12" s="13"/>
    </row>
    <row r="13" spans="1:17" x14ac:dyDescent="0.3">
      <c r="L13" s="13"/>
      <c r="M13" s="13"/>
      <c r="N13" s="13"/>
      <c r="O13" s="13"/>
      <c r="P13" s="13"/>
      <c r="Q13" s="13"/>
    </row>
    <row r="14" spans="1:17" x14ac:dyDescent="0.3">
      <c r="L14" s="13"/>
      <c r="M14" s="13"/>
      <c r="N14" s="13"/>
      <c r="O14" s="13"/>
      <c r="P14" s="13"/>
      <c r="Q14" s="13"/>
    </row>
  </sheetData>
  <mergeCells count="1">
    <mergeCell ref="L2:Q14"/>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2AA71-1259-4E1F-86F6-D3AAF45C11ED}">
  <dimension ref="A1:K111"/>
  <sheetViews>
    <sheetView topLeftCell="A17" workbookViewId="0">
      <selection activeCell="F25" sqref="F25"/>
    </sheetView>
  </sheetViews>
  <sheetFormatPr defaultRowHeight="14.4" x14ac:dyDescent="0.3"/>
  <cols>
    <col min="1" max="1" width="10.33203125" customWidth="1"/>
    <col min="2" max="2" width="11.77734375" customWidth="1"/>
    <col min="3" max="3" width="14.44140625" customWidth="1"/>
    <col min="4" max="4" width="11.33203125" customWidth="1"/>
    <col min="5" max="5" width="12.77734375" customWidth="1"/>
    <col min="6" max="6" width="15.44140625" customWidth="1"/>
  </cols>
  <sheetData>
    <row r="1" spans="1:11" x14ac:dyDescent="0.3">
      <c r="A1" s="12" t="s">
        <v>137</v>
      </c>
      <c r="B1" s="12" t="s">
        <v>139</v>
      </c>
      <c r="C1" s="12" t="s">
        <v>140</v>
      </c>
      <c r="D1" s="12" t="s">
        <v>141</v>
      </c>
      <c r="E1" s="12" t="s">
        <v>142</v>
      </c>
      <c r="F1" s="12" t="s">
        <v>143</v>
      </c>
      <c r="I1" s="7" t="s">
        <v>4</v>
      </c>
      <c r="K1" t="s">
        <v>137</v>
      </c>
    </row>
    <row r="2" spans="1:11" x14ac:dyDescent="0.3">
      <c r="A2" s="10">
        <v>500</v>
      </c>
      <c r="B2" s="2">
        <v>1</v>
      </c>
      <c r="C2" s="11">
        <v>9.0909090909090905E-3</v>
      </c>
      <c r="D2" s="10" t="s">
        <v>138</v>
      </c>
      <c r="E2" s="2">
        <v>30</v>
      </c>
      <c r="F2" s="11">
        <v>0.27272727272727271</v>
      </c>
      <c r="I2" s="8">
        <v>1958</v>
      </c>
      <c r="J2">
        <f>MIN(I1:I111)</f>
        <v>500</v>
      </c>
      <c r="K2">
        <f>J6*1</f>
        <v>500</v>
      </c>
    </row>
    <row r="3" spans="1:11" x14ac:dyDescent="0.3">
      <c r="A3" s="10">
        <v>1000</v>
      </c>
      <c r="B3" s="2">
        <v>11</v>
      </c>
      <c r="C3" s="11">
        <v>0.10909090909090909</v>
      </c>
      <c r="D3" s="10">
        <v>1500</v>
      </c>
      <c r="E3" s="2">
        <v>26</v>
      </c>
      <c r="F3" s="11">
        <v>0.50909090909090904</v>
      </c>
      <c r="I3" s="9">
        <v>2078</v>
      </c>
      <c r="J3">
        <f>MAX(I1:I111)</f>
        <v>2964</v>
      </c>
      <c r="K3">
        <f>J6*2</f>
        <v>1000</v>
      </c>
    </row>
    <row r="4" spans="1:11" x14ac:dyDescent="0.3">
      <c r="A4" s="10">
        <v>1500</v>
      </c>
      <c r="B4" s="2">
        <v>26</v>
      </c>
      <c r="C4" s="11">
        <v>0.34545454545454546</v>
      </c>
      <c r="D4" s="10">
        <v>2500</v>
      </c>
      <c r="E4" s="2">
        <v>22</v>
      </c>
      <c r="F4" s="11">
        <v>0.70909090909090911</v>
      </c>
      <c r="I4" s="8">
        <v>1445</v>
      </c>
      <c r="J4">
        <f>J3-J2</f>
        <v>2464</v>
      </c>
      <c r="K4">
        <f>J6*3</f>
        <v>1500</v>
      </c>
    </row>
    <row r="5" spans="1:11" x14ac:dyDescent="0.3">
      <c r="A5" s="10">
        <v>2000</v>
      </c>
      <c r="B5" s="2">
        <v>20</v>
      </c>
      <c r="C5" s="11">
        <v>0.52727272727272723</v>
      </c>
      <c r="D5" s="10">
        <v>2000</v>
      </c>
      <c r="E5" s="2">
        <v>20</v>
      </c>
      <c r="F5" s="11">
        <v>0.89090909090909087</v>
      </c>
      <c r="I5" s="9">
        <v>2469</v>
      </c>
      <c r="J5">
        <f>J4/5</f>
        <v>492.8</v>
      </c>
      <c r="K5">
        <f>J6*4</f>
        <v>2000</v>
      </c>
    </row>
    <row r="6" spans="1:11" x14ac:dyDescent="0.3">
      <c r="A6" s="10">
        <v>2500</v>
      </c>
      <c r="B6" s="2">
        <v>22</v>
      </c>
      <c r="C6" s="11">
        <v>0.72727272727272729</v>
      </c>
      <c r="D6" s="10">
        <v>1000</v>
      </c>
      <c r="E6" s="2">
        <v>11</v>
      </c>
      <c r="F6" s="11">
        <v>0.99090909090909096</v>
      </c>
      <c r="I6" s="8">
        <v>1105</v>
      </c>
      <c r="J6">
        <v>500</v>
      </c>
      <c r="K6">
        <f>J6*5</f>
        <v>2500</v>
      </c>
    </row>
    <row r="7" spans="1:11" x14ac:dyDescent="0.3">
      <c r="A7" s="2" t="s">
        <v>138</v>
      </c>
      <c r="B7" s="2">
        <v>30</v>
      </c>
      <c r="C7" s="11">
        <v>1</v>
      </c>
      <c r="D7" s="10">
        <v>500</v>
      </c>
      <c r="E7" s="2">
        <v>1</v>
      </c>
      <c r="F7" s="11">
        <v>1</v>
      </c>
      <c r="I7" s="9">
        <v>2206</v>
      </c>
    </row>
    <row r="8" spans="1:11" x14ac:dyDescent="0.3">
      <c r="I8" s="8">
        <v>2848</v>
      </c>
    </row>
    <row r="9" spans="1:11" x14ac:dyDescent="0.3">
      <c r="I9" s="9">
        <v>1694</v>
      </c>
    </row>
    <row r="10" spans="1:11" x14ac:dyDescent="0.3">
      <c r="I10" s="8">
        <v>2024</v>
      </c>
    </row>
    <row r="11" spans="1:11" x14ac:dyDescent="0.3">
      <c r="I11" s="9">
        <v>2581</v>
      </c>
    </row>
    <row r="12" spans="1:11" x14ac:dyDescent="0.3">
      <c r="I12" s="8">
        <v>1457</v>
      </c>
    </row>
    <row r="13" spans="1:11" x14ac:dyDescent="0.3">
      <c r="I13" s="9">
        <v>2839</v>
      </c>
    </row>
    <row r="14" spans="1:11" x14ac:dyDescent="0.3">
      <c r="I14" s="8">
        <v>2592</v>
      </c>
    </row>
    <row r="15" spans="1:11" x14ac:dyDescent="0.3">
      <c r="I15" s="9">
        <v>642</v>
      </c>
    </row>
    <row r="16" spans="1:11" x14ac:dyDescent="0.3">
      <c r="I16" s="8">
        <v>2875</v>
      </c>
    </row>
    <row r="17" spans="1:9" x14ac:dyDescent="0.3">
      <c r="I17" s="9">
        <v>2922</v>
      </c>
    </row>
    <row r="18" spans="1:9" x14ac:dyDescent="0.3">
      <c r="I18" s="8">
        <v>2087</v>
      </c>
    </row>
    <row r="19" spans="1:9" x14ac:dyDescent="0.3">
      <c r="I19" s="9">
        <v>2299</v>
      </c>
    </row>
    <row r="20" spans="1:9" x14ac:dyDescent="0.3">
      <c r="I20" s="8">
        <v>2581</v>
      </c>
    </row>
    <row r="21" spans="1:9" x14ac:dyDescent="0.3">
      <c r="I21" s="9">
        <v>500</v>
      </c>
    </row>
    <row r="22" spans="1:9" x14ac:dyDescent="0.3">
      <c r="I22" s="8">
        <v>1952</v>
      </c>
    </row>
    <row r="23" spans="1:9" x14ac:dyDescent="0.3">
      <c r="I23" s="9">
        <v>2249</v>
      </c>
    </row>
    <row r="24" spans="1:9" x14ac:dyDescent="0.3">
      <c r="I24" s="8">
        <v>1873</v>
      </c>
    </row>
    <row r="25" spans="1:9" x14ac:dyDescent="0.3">
      <c r="I25" s="9">
        <v>1229</v>
      </c>
    </row>
    <row r="26" spans="1:9" x14ac:dyDescent="0.3">
      <c r="A26" s="15" t="s">
        <v>144</v>
      </c>
      <c r="B26" s="15"/>
      <c r="C26" s="15"/>
      <c r="D26" s="15"/>
      <c r="I26" s="8">
        <v>1676</v>
      </c>
    </row>
    <row r="27" spans="1:9" x14ac:dyDescent="0.3">
      <c r="A27" s="15"/>
      <c r="B27" s="15"/>
      <c r="C27" s="15"/>
      <c r="D27" s="15"/>
      <c r="I27" s="9">
        <v>1764</v>
      </c>
    </row>
    <row r="28" spans="1:9" x14ac:dyDescent="0.3">
      <c r="A28" s="15"/>
      <c r="B28" s="15"/>
      <c r="C28" s="15"/>
      <c r="D28" s="15"/>
      <c r="I28" s="8">
        <v>2411</v>
      </c>
    </row>
    <row r="29" spans="1:9" x14ac:dyDescent="0.3">
      <c r="A29" s="15"/>
      <c r="B29" s="15"/>
      <c r="C29" s="15"/>
      <c r="D29" s="15"/>
      <c r="I29" s="9">
        <v>2519</v>
      </c>
    </row>
    <row r="30" spans="1:9" x14ac:dyDescent="0.3">
      <c r="A30" s="15"/>
      <c r="B30" s="15"/>
      <c r="C30" s="15"/>
      <c r="D30" s="15"/>
      <c r="I30" s="8">
        <v>1524</v>
      </c>
    </row>
    <row r="31" spans="1:9" x14ac:dyDescent="0.3">
      <c r="A31" s="15"/>
      <c r="B31" s="15"/>
      <c r="C31" s="15"/>
      <c r="D31" s="15"/>
      <c r="I31" s="9">
        <v>2877</v>
      </c>
    </row>
    <row r="32" spans="1:9" x14ac:dyDescent="0.3">
      <c r="A32" s="15"/>
      <c r="B32" s="15"/>
      <c r="C32" s="15"/>
      <c r="D32" s="15"/>
      <c r="I32" s="8">
        <v>1089</v>
      </c>
    </row>
    <row r="33" spans="1:9" x14ac:dyDescent="0.3">
      <c r="A33" s="15"/>
      <c r="B33" s="15"/>
      <c r="C33" s="15"/>
      <c r="D33" s="15"/>
      <c r="I33" s="9">
        <v>1977</v>
      </c>
    </row>
    <row r="34" spans="1:9" x14ac:dyDescent="0.3">
      <c r="A34" s="15"/>
      <c r="B34" s="15"/>
      <c r="C34" s="15"/>
      <c r="D34" s="15"/>
      <c r="I34" s="8">
        <v>2220</v>
      </c>
    </row>
    <row r="35" spans="1:9" x14ac:dyDescent="0.3">
      <c r="A35" s="15"/>
      <c r="B35" s="15"/>
      <c r="C35" s="15"/>
      <c r="D35" s="15"/>
      <c r="I35" s="9">
        <v>2918</v>
      </c>
    </row>
    <row r="36" spans="1:9" x14ac:dyDescent="0.3">
      <c r="I36" s="8">
        <v>2964</v>
      </c>
    </row>
    <row r="37" spans="1:9" x14ac:dyDescent="0.3">
      <c r="I37" s="9">
        <v>2552</v>
      </c>
    </row>
    <row r="38" spans="1:9" x14ac:dyDescent="0.3">
      <c r="I38" s="8">
        <v>2430</v>
      </c>
    </row>
    <row r="39" spans="1:9" x14ac:dyDescent="0.3">
      <c r="I39" s="9">
        <v>2083</v>
      </c>
    </row>
    <row r="40" spans="1:9" x14ac:dyDescent="0.3">
      <c r="I40" s="8">
        <v>569</v>
      </c>
    </row>
    <row r="41" spans="1:9" x14ac:dyDescent="0.3">
      <c r="I41" s="9">
        <v>1331</v>
      </c>
    </row>
    <row r="42" spans="1:9" x14ac:dyDescent="0.3">
      <c r="I42" s="8">
        <v>1223</v>
      </c>
    </row>
    <row r="43" spans="1:9" x14ac:dyDescent="0.3">
      <c r="I43" s="9">
        <v>2952</v>
      </c>
    </row>
    <row r="44" spans="1:9" x14ac:dyDescent="0.3">
      <c r="I44" s="8">
        <v>2353</v>
      </c>
    </row>
    <row r="45" spans="1:9" x14ac:dyDescent="0.3">
      <c r="I45" s="9">
        <v>1961</v>
      </c>
    </row>
    <row r="46" spans="1:9" x14ac:dyDescent="0.3">
      <c r="I46" s="8">
        <v>754</v>
      </c>
    </row>
    <row r="47" spans="1:9" x14ac:dyDescent="0.3">
      <c r="I47" s="9">
        <v>2878</v>
      </c>
    </row>
    <row r="48" spans="1:9" x14ac:dyDescent="0.3">
      <c r="I48" s="8">
        <v>1733</v>
      </c>
    </row>
    <row r="49" spans="9:9" x14ac:dyDescent="0.3">
      <c r="I49" s="9">
        <v>699</v>
      </c>
    </row>
    <row r="50" spans="9:9" x14ac:dyDescent="0.3">
      <c r="I50" s="8">
        <v>1225</v>
      </c>
    </row>
    <row r="51" spans="9:9" x14ac:dyDescent="0.3">
      <c r="I51" s="9">
        <v>2666</v>
      </c>
    </row>
    <row r="52" spans="9:9" x14ac:dyDescent="0.3">
      <c r="I52" s="8">
        <v>1469</v>
      </c>
    </row>
    <row r="53" spans="9:9" x14ac:dyDescent="0.3">
      <c r="I53" s="9">
        <v>1132</v>
      </c>
    </row>
    <row r="54" spans="9:9" x14ac:dyDescent="0.3">
      <c r="I54" s="8">
        <v>908</v>
      </c>
    </row>
    <row r="55" spans="9:9" x14ac:dyDescent="0.3">
      <c r="I55" s="9">
        <v>2074</v>
      </c>
    </row>
    <row r="56" spans="9:9" x14ac:dyDescent="0.3">
      <c r="I56" s="8">
        <v>1265</v>
      </c>
    </row>
    <row r="57" spans="9:9" x14ac:dyDescent="0.3">
      <c r="I57" s="9">
        <v>1220</v>
      </c>
    </row>
    <row r="58" spans="9:9" x14ac:dyDescent="0.3">
      <c r="I58" s="8">
        <v>2667</v>
      </c>
    </row>
    <row r="59" spans="9:9" x14ac:dyDescent="0.3">
      <c r="I59" s="9">
        <v>820</v>
      </c>
    </row>
    <row r="60" spans="9:9" x14ac:dyDescent="0.3">
      <c r="I60" s="8">
        <v>1757</v>
      </c>
    </row>
    <row r="61" spans="9:9" x14ac:dyDescent="0.3">
      <c r="I61" s="9">
        <v>1463</v>
      </c>
    </row>
    <row r="62" spans="9:9" x14ac:dyDescent="0.3">
      <c r="I62" s="8">
        <v>1109</v>
      </c>
    </row>
    <row r="63" spans="9:9" x14ac:dyDescent="0.3">
      <c r="I63" s="9">
        <v>1740</v>
      </c>
    </row>
    <row r="64" spans="9:9" x14ac:dyDescent="0.3">
      <c r="I64" s="8">
        <v>542</v>
      </c>
    </row>
    <row r="65" spans="9:9" x14ac:dyDescent="0.3">
      <c r="I65" s="9">
        <v>2483</v>
      </c>
    </row>
    <row r="66" spans="9:9" x14ac:dyDescent="0.3">
      <c r="I66" s="8">
        <v>511</v>
      </c>
    </row>
    <row r="67" spans="9:9" x14ac:dyDescent="0.3">
      <c r="I67" s="9">
        <v>2759</v>
      </c>
    </row>
    <row r="68" spans="9:9" x14ac:dyDescent="0.3">
      <c r="I68" s="8">
        <v>1024</v>
      </c>
    </row>
    <row r="69" spans="9:9" x14ac:dyDescent="0.3">
      <c r="I69" s="9">
        <v>2050</v>
      </c>
    </row>
    <row r="70" spans="9:9" x14ac:dyDescent="0.3">
      <c r="I70" s="8">
        <v>1708</v>
      </c>
    </row>
    <row r="71" spans="9:9" x14ac:dyDescent="0.3">
      <c r="I71" s="9">
        <v>1809</v>
      </c>
    </row>
    <row r="72" spans="9:9" x14ac:dyDescent="0.3">
      <c r="I72" s="8">
        <v>1546</v>
      </c>
    </row>
    <row r="73" spans="9:9" x14ac:dyDescent="0.3">
      <c r="I73" s="9">
        <v>1835</v>
      </c>
    </row>
    <row r="74" spans="9:9" x14ac:dyDescent="0.3">
      <c r="I74" s="8">
        <v>1333</v>
      </c>
    </row>
    <row r="75" spans="9:9" x14ac:dyDescent="0.3">
      <c r="I75" s="9">
        <v>2737</v>
      </c>
    </row>
    <row r="76" spans="9:9" x14ac:dyDescent="0.3">
      <c r="I76" s="8">
        <v>542</v>
      </c>
    </row>
    <row r="77" spans="9:9" x14ac:dyDescent="0.3">
      <c r="I77" s="9">
        <v>1079</v>
      </c>
    </row>
    <row r="78" spans="9:9" x14ac:dyDescent="0.3">
      <c r="I78" s="8">
        <v>2330</v>
      </c>
    </row>
    <row r="79" spans="9:9" x14ac:dyDescent="0.3">
      <c r="I79" s="9">
        <v>700</v>
      </c>
    </row>
    <row r="80" spans="9:9" x14ac:dyDescent="0.3">
      <c r="I80" s="8">
        <v>2711</v>
      </c>
    </row>
    <row r="81" spans="9:9" x14ac:dyDescent="0.3">
      <c r="I81" s="9">
        <v>1388</v>
      </c>
    </row>
    <row r="82" spans="9:9" x14ac:dyDescent="0.3">
      <c r="I82" s="8">
        <v>1906</v>
      </c>
    </row>
    <row r="83" spans="9:9" x14ac:dyDescent="0.3">
      <c r="I83" s="9">
        <v>2314</v>
      </c>
    </row>
    <row r="84" spans="9:9" x14ac:dyDescent="0.3">
      <c r="I84" s="8">
        <v>2036</v>
      </c>
    </row>
    <row r="85" spans="9:9" x14ac:dyDescent="0.3">
      <c r="I85" s="9">
        <v>2725</v>
      </c>
    </row>
    <row r="86" spans="9:9" x14ac:dyDescent="0.3">
      <c r="I86" s="8">
        <v>1992</v>
      </c>
    </row>
    <row r="87" spans="9:9" x14ac:dyDescent="0.3">
      <c r="I87" s="9">
        <v>2608</v>
      </c>
    </row>
    <row r="88" spans="9:9" x14ac:dyDescent="0.3">
      <c r="I88" s="8">
        <v>1026</v>
      </c>
    </row>
    <row r="89" spans="9:9" x14ac:dyDescent="0.3">
      <c r="I89" s="9">
        <v>1022</v>
      </c>
    </row>
    <row r="90" spans="9:9" x14ac:dyDescent="0.3">
      <c r="I90" s="8">
        <v>2640</v>
      </c>
    </row>
    <row r="91" spans="9:9" x14ac:dyDescent="0.3">
      <c r="I91" s="9">
        <v>2950</v>
      </c>
    </row>
    <row r="92" spans="9:9" x14ac:dyDescent="0.3">
      <c r="I92" s="8">
        <v>1495</v>
      </c>
    </row>
    <row r="93" spans="9:9" x14ac:dyDescent="0.3">
      <c r="I93" s="9">
        <v>2157</v>
      </c>
    </row>
    <row r="94" spans="9:9" x14ac:dyDescent="0.3">
      <c r="I94" s="8">
        <v>2134</v>
      </c>
    </row>
    <row r="95" spans="9:9" x14ac:dyDescent="0.3">
      <c r="I95" s="9">
        <v>1013</v>
      </c>
    </row>
    <row r="96" spans="9:9" x14ac:dyDescent="0.3">
      <c r="I96" s="8">
        <v>1297</v>
      </c>
    </row>
    <row r="97" spans="9:9" x14ac:dyDescent="0.3">
      <c r="I97" s="9">
        <v>1245</v>
      </c>
    </row>
    <row r="98" spans="9:9" x14ac:dyDescent="0.3">
      <c r="I98" s="8">
        <v>2800</v>
      </c>
    </row>
    <row r="99" spans="9:9" x14ac:dyDescent="0.3">
      <c r="I99" s="9">
        <v>1221</v>
      </c>
    </row>
    <row r="100" spans="9:9" x14ac:dyDescent="0.3">
      <c r="I100" s="8">
        <v>944</v>
      </c>
    </row>
    <row r="101" spans="9:9" x14ac:dyDescent="0.3">
      <c r="I101" s="9">
        <v>1186</v>
      </c>
    </row>
    <row r="102" spans="9:9" x14ac:dyDescent="0.3">
      <c r="I102" s="8">
        <v>2865</v>
      </c>
    </row>
    <row r="103" spans="9:9" x14ac:dyDescent="0.3">
      <c r="I103" s="9">
        <v>1650</v>
      </c>
    </row>
    <row r="104" spans="9:9" x14ac:dyDescent="0.3">
      <c r="I104" s="8">
        <v>2338</v>
      </c>
    </row>
    <row r="105" spans="9:9" x14ac:dyDescent="0.3">
      <c r="I105" s="9">
        <v>2961</v>
      </c>
    </row>
    <row r="106" spans="9:9" x14ac:dyDescent="0.3">
      <c r="I106" s="8">
        <v>2581</v>
      </c>
    </row>
    <row r="107" spans="9:9" x14ac:dyDescent="0.3">
      <c r="I107" s="9">
        <v>2929</v>
      </c>
    </row>
    <row r="108" spans="9:9" x14ac:dyDescent="0.3">
      <c r="I108" s="8">
        <v>1632</v>
      </c>
    </row>
    <row r="109" spans="9:9" x14ac:dyDescent="0.3">
      <c r="I109" s="9">
        <v>2499</v>
      </c>
    </row>
    <row r="110" spans="9:9" x14ac:dyDescent="0.3">
      <c r="I110" s="8">
        <v>2643</v>
      </c>
    </row>
    <row r="111" spans="9:9" x14ac:dyDescent="0.3">
      <c r="I111" s="9">
        <v>2871</v>
      </c>
    </row>
  </sheetData>
  <sortState xmlns:xlrd2="http://schemas.microsoft.com/office/spreadsheetml/2017/richdata2" ref="D2:E7">
    <sortCondition descending="1" ref="E2"/>
  </sortState>
  <mergeCells count="1">
    <mergeCell ref="A26:D35"/>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79BE7-8F33-402D-A275-222479346E30}">
  <dimension ref="A1:K111"/>
  <sheetViews>
    <sheetView topLeftCell="A4" workbookViewId="0">
      <selection activeCell="E20" sqref="E20:K29"/>
    </sheetView>
  </sheetViews>
  <sheetFormatPr defaultRowHeight="14.4" x14ac:dyDescent="0.3"/>
  <cols>
    <col min="1" max="1" width="10.21875" customWidth="1"/>
  </cols>
  <sheetData>
    <row r="1" spans="1:2" x14ac:dyDescent="0.3">
      <c r="A1" s="1" t="s">
        <v>5</v>
      </c>
      <c r="B1" s="7" t="s">
        <v>4</v>
      </c>
    </row>
    <row r="2" spans="1:2" x14ac:dyDescent="0.3">
      <c r="A2" s="1">
        <v>5</v>
      </c>
      <c r="B2" s="8">
        <v>1958</v>
      </c>
    </row>
    <row r="3" spans="1:2" x14ac:dyDescent="0.3">
      <c r="A3" s="1">
        <v>1</v>
      </c>
      <c r="B3" s="9">
        <v>2078</v>
      </c>
    </row>
    <row r="4" spans="1:2" x14ac:dyDescent="0.3">
      <c r="A4" s="1">
        <v>2</v>
      </c>
      <c r="B4" s="8">
        <v>1445</v>
      </c>
    </row>
    <row r="5" spans="1:2" x14ac:dyDescent="0.3">
      <c r="A5" s="1">
        <v>6</v>
      </c>
      <c r="B5" s="9">
        <v>2469</v>
      </c>
    </row>
    <row r="6" spans="1:2" x14ac:dyDescent="0.3">
      <c r="A6" s="1">
        <v>6</v>
      </c>
      <c r="B6" s="8">
        <v>1105</v>
      </c>
    </row>
    <row r="7" spans="1:2" x14ac:dyDescent="0.3">
      <c r="A7" s="1">
        <v>4</v>
      </c>
      <c r="B7" s="9">
        <v>2206</v>
      </c>
    </row>
    <row r="8" spans="1:2" x14ac:dyDescent="0.3">
      <c r="A8" s="1">
        <v>4</v>
      </c>
      <c r="B8" s="8">
        <v>2848</v>
      </c>
    </row>
    <row r="9" spans="1:2" x14ac:dyDescent="0.3">
      <c r="A9" s="1">
        <v>8</v>
      </c>
      <c r="B9" s="9">
        <v>1694</v>
      </c>
    </row>
    <row r="10" spans="1:2" x14ac:dyDescent="0.3">
      <c r="A10" s="1">
        <v>1</v>
      </c>
      <c r="B10" s="8">
        <v>2024</v>
      </c>
    </row>
    <row r="11" spans="1:2" x14ac:dyDescent="0.3">
      <c r="A11" s="1">
        <v>6</v>
      </c>
      <c r="B11" s="9">
        <v>2581</v>
      </c>
    </row>
    <row r="12" spans="1:2" x14ac:dyDescent="0.3">
      <c r="A12" s="1">
        <v>5</v>
      </c>
      <c r="B12" s="8">
        <v>1457</v>
      </c>
    </row>
    <row r="13" spans="1:2" x14ac:dyDescent="0.3">
      <c r="A13" s="1">
        <v>1</v>
      </c>
      <c r="B13" s="9">
        <v>2839</v>
      </c>
    </row>
    <row r="14" spans="1:2" x14ac:dyDescent="0.3">
      <c r="A14" s="1">
        <v>5</v>
      </c>
      <c r="B14" s="8">
        <v>2592</v>
      </c>
    </row>
    <row r="15" spans="1:2" x14ac:dyDescent="0.3">
      <c r="A15" s="1">
        <v>8</v>
      </c>
      <c r="B15" s="9">
        <v>642</v>
      </c>
    </row>
    <row r="16" spans="1:2" x14ac:dyDescent="0.3">
      <c r="A16" s="1">
        <v>2</v>
      </c>
      <c r="B16" s="8">
        <v>2875</v>
      </c>
    </row>
    <row r="17" spans="1:11" x14ac:dyDescent="0.3">
      <c r="A17" s="1">
        <v>8</v>
      </c>
      <c r="B17" s="9">
        <v>2922</v>
      </c>
    </row>
    <row r="18" spans="1:11" x14ac:dyDescent="0.3">
      <c r="A18" s="1">
        <v>8</v>
      </c>
      <c r="B18" s="8">
        <v>2087</v>
      </c>
    </row>
    <row r="19" spans="1:11" x14ac:dyDescent="0.3">
      <c r="A19" s="1">
        <v>3</v>
      </c>
      <c r="B19" s="9">
        <v>2299</v>
      </c>
    </row>
    <row r="20" spans="1:11" x14ac:dyDescent="0.3">
      <c r="A20" s="1">
        <v>2</v>
      </c>
      <c r="B20" s="8">
        <v>2581</v>
      </c>
      <c r="E20" s="14" t="s">
        <v>145</v>
      </c>
      <c r="F20" s="14"/>
      <c r="G20" s="14"/>
      <c r="H20" s="14"/>
      <c r="I20" s="14"/>
      <c r="J20" s="14"/>
      <c r="K20" s="14"/>
    </row>
    <row r="21" spans="1:11" x14ac:dyDescent="0.3">
      <c r="A21" s="1">
        <v>4</v>
      </c>
      <c r="B21" s="9">
        <v>500</v>
      </c>
      <c r="E21" s="14"/>
      <c r="F21" s="14"/>
      <c r="G21" s="14"/>
      <c r="H21" s="14"/>
      <c r="I21" s="14"/>
      <c r="J21" s="14"/>
      <c r="K21" s="14"/>
    </row>
    <row r="22" spans="1:11" x14ac:dyDescent="0.3">
      <c r="A22" s="1">
        <v>3</v>
      </c>
      <c r="B22" s="8">
        <v>1952</v>
      </c>
      <c r="E22" s="14"/>
      <c r="F22" s="14"/>
      <c r="G22" s="14"/>
      <c r="H22" s="14"/>
      <c r="I22" s="14"/>
      <c r="J22" s="14"/>
      <c r="K22" s="14"/>
    </row>
    <row r="23" spans="1:11" x14ac:dyDescent="0.3">
      <c r="A23" s="1">
        <v>3</v>
      </c>
      <c r="B23" s="9">
        <v>2249</v>
      </c>
      <c r="E23" s="14"/>
      <c r="F23" s="14"/>
      <c r="G23" s="14"/>
      <c r="H23" s="14"/>
      <c r="I23" s="14"/>
      <c r="J23" s="14"/>
      <c r="K23" s="14"/>
    </row>
    <row r="24" spans="1:11" x14ac:dyDescent="0.3">
      <c r="A24" s="1">
        <v>2</v>
      </c>
      <c r="B24" s="8">
        <v>1873</v>
      </c>
      <c r="E24" s="14"/>
      <c r="F24" s="14"/>
      <c r="G24" s="14"/>
      <c r="H24" s="14"/>
      <c r="I24" s="14"/>
      <c r="J24" s="14"/>
      <c r="K24" s="14"/>
    </row>
    <row r="25" spans="1:11" x14ac:dyDescent="0.3">
      <c r="A25" s="1">
        <v>7</v>
      </c>
      <c r="B25" s="9">
        <v>1229</v>
      </c>
      <c r="E25" s="14"/>
      <c r="F25" s="14"/>
      <c r="G25" s="14"/>
      <c r="H25" s="14"/>
      <c r="I25" s="14"/>
      <c r="J25" s="14"/>
      <c r="K25" s="14"/>
    </row>
    <row r="26" spans="1:11" x14ac:dyDescent="0.3">
      <c r="A26" s="1">
        <v>7</v>
      </c>
      <c r="B26" s="8">
        <v>1676</v>
      </c>
      <c r="E26" s="14"/>
      <c r="F26" s="14"/>
      <c r="G26" s="14"/>
      <c r="H26" s="14"/>
      <c r="I26" s="14"/>
      <c r="J26" s="14"/>
      <c r="K26" s="14"/>
    </row>
    <row r="27" spans="1:11" x14ac:dyDescent="0.3">
      <c r="A27" s="1">
        <v>1</v>
      </c>
      <c r="B27" s="9">
        <v>1764</v>
      </c>
      <c r="E27" s="14"/>
      <c r="F27" s="14"/>
      <c r="G27" s="14"/>
      <c r="H27" s="14"/>
      <c r="I27" s="14"/>
      <c r="J27" s="14"/>
      <c r="K27" s="14"/>
    </row>
    <row r="28" spans="1:11" x14ac:dyDescent="0.3">
      <c r="A28" s="1">
        <v>4</v>
      </c>
      <c r="B28" s="8">
        <v>2411</v>
      </c>
      <c r="E28" s="14"/>
      <c r="F28" s="14"/>
      <c r="G28" s="14"/>
      <c r="H28" s="14"/>
      <c r="I28" s="14"/>
      <c r="J28" s="14"/>
      <c r="K28" s="14"/>
    </row>
    <row r="29" spans="1:11" x14ac:dyDescent="0.3">
      <c r="A29" s="1">
        <v>2</v>
      </c>
      <c r="B29" s="9">
        <v>2519</v>
      </c>
      <c r="E29" s="14"/>
      <c r="F29" s="14"/>
      <c r="G29" s="14"/>
      <c r="H29" s="14"/>
      <c r="I29" s="14"/>
      <c r="J29" s="14"/>
      <c r="K29" s="14"/>
    </row>
    <row r="30" spans="1:11" x14ac:dyDescent="0.3">
      <c r="A30" s="1">
        <v>6</v>
      </c>
      <c r="B30" s="8">
        <v>1524</v>
      </c>
    </row>
    <row r="31" spans="1:11" x14ac:dyDescent="0.3">
      <c r="A31" s="1">
        <v>5</v>
      </c>
      <c r="B31" s="9">
        <v>2877</v>
      </c>
    </row>
    <row r="32" spans="1:11" x14ac:dyDescent="0.3">
      <c r="A32" s="1">
        <v>2</v>
      </c>
      <c r="B32" s="8">
        <v>1089</v>
      </c>
    </row>
    <row r="33" spans="1:2" x14ac:dyDescent="0.3">
      <c r="A33" s="1">
        <v>2</v>
      </c>
      <c r="B33" s="9">
        <v>1977</v>
      </c>
    </row>
    <row r="34" spans="1:2" x14ac:dyDescent="0.3">
      <c r="A34" s="1">
        <v>8</v>
      </c>
      <c r="B34" s="8">
        <v>2220</v>
      </c>
    </row>
    <row r="35" spans="1:2" x14ac:dyDescent="0.3">
      <c r="A35" s="1">
        <v>6</v>
      </c>
      <c r="B35" s="9">
        <v>2918</v>
      </c>
    </row>
    <row r="36" spans="1:2" x14ac:dyDescent="0.3">
      <c r="A36" s="1">
        <v>2</v>
      </c>
      <c r="B36" s="8">
        <v>2964</v>
      </c>
    </row>
    <row r="37" spans="1:2" x14ac:dyDescent="0.3">
      <c r="A37" s="1">
        <v>4</v>
      </c>
      <c r="B37" s="9">
        <v>2552</v>
      </c>
    </row>
    <row r="38" spans="1:2" x14ac:dyDescent="0.3">
      <c r="A38" s="1">
        <v>1</v>
      </c>
      <c r="B38" s="8">
        <v>2430</v>
      </c>
    </row>
    <row r="39" spans="1:2" x14ac:dyDescent="0.3">
      <c r="A39" s="1">
        <v>5</v>
      </c>
      <c r="B39" s="9">
        <v>2083</v>
      </c>
    </row>
    <row r="40" spans="1:2" x14ac:dyDescent="0.3">
      <c r="A40" s="1">
        <v>1</v>
      </c>
      <c r="B40" s="8">
        <v>569</v>
      </c>
    </row>
    <row r="41" spans="1:2" x14ac:dyDescent="0.3">
      <c r="A41" s="1">
        <v>3</v>
      </c>
      <c r="B41" s="9">
        <v>1331</v>
      </c>
    </row>
    <row r="42" spans="1:2" x14ac:dyDescent="0.3">
      <c r="A42" s="1">
        <v>4</v>
      </c>
      <c r="B42" s="8">
        <v>1223</v>
      </c>
    </row>
    <row r="43" spans="1:2" x14ac:dyDescent="0.3">
      <c r="A43" s="1">
        <v>4</v>
      </c>
      <c r="B43" s="9">
        <v>2952</v>
      </c>
    </row>
    <row r="44" spans="1:2" x14ac:dyDescent="0.3">
      <c r="A44" s="1">
        <v>4</v>
      </c>
      <c r="B44" s="8">
        <v>2353</v>
      </c>
    </row>
    <row r="45" spans="1:2" x14ac:dyDescent="0.3">
      <c r="A45" s="1">
        <v>3</v>
      </c>
      <c r="B45" s="9">
        <v>1961</v>
      </c>
    </row>
    <row r="46" spans="1:2" x14ac:dyDescent="0.3">
      <c r="A46" s="1">
        <v>8</v>
      </c>
      <c r="B46" s="8">
        <v>754</v>
      </c>
    </row>
    <row r="47" spans="1:2" x14ac:dyDescent="0.3">
      <c r="A47" s="1">
        <v>6</v>
      </c>
      <c r="B47" s="9">
        <v>2878</v>
      </c>
    </row>
    <row r="48" spans="1:2" x14ac:dyDescent="0.3">
      <c r="A48" s="1">
        <v>5</v>
      </c>
      <c r="B48" s="8">
        <v>1733</v>
      </c>
    </row>
    <row r="49" spans="1:2" x14ac:dyDescent="0.3">
      <c r="A49" s="1">
        <v>3</v>
      </c>
      <c r="B49" s="9">
        <v>699</v>
      </c>
    </row>
    <row r="50" spans="1:2" x14ac:dyDescent="0.3">
      <c r="A50" s="1">
        <v>3</v>
      </c>
      <c r="B50" s="8">
        <v>1225</v>
      </c>
    </row>
    <row r="51" spans="1:2" x14ac:dyDescent="0.3">
      <c r="A51" s="1">
        <v>1</v>
      </c>
      <c r="B51" s="9">
        <v>2666</v>
      </c>
    </row>
    <row r="52" spans="1:2" x14ac:dyDescent="0.3">
      <c r="A52" s="1">
        <v>1</v>
      </c>
      <c r="B52" s="8">
        <v>1469</v>
      </c>
    </row>
    <row r="53" spans="1:2" x14ac:dyDescent="0.3">
      <c r="A53" s="1">
        <v>4</v>
      </c>
      <c r="B53" s="9">
        <v>1132</v>
      </c>
    </row>
    <row r="54" spans="1:2" x14ac:dyDescent="0.3">
      <c r="A54" s="1">
        <v>3</v>
      </c>
      <c r="B54" s="8">
        <v>908</v>
      </c>
    </row>
    <row r="55" spans="1:2" x14ac:dyDescent="0.3">
      <c r="A55" s="1">
        <v>4</v>
      </c>
      <c r="B55" s="9">
        <v>2074</v>
      </c>
    </row>
    <row r="56" spans="1:2" x14ac:dyDescent="0.3">
      <c r="A56" s="1">
        <v>8</v>
      </c>
      <c r="B56" s="8">
        <v>1265</v>
      </c>
    </row>
    <row r="57" spans="1:2" x14ac:dyDescent="0.3">
      <c r="A57" s="1">
        <v>7</v>
      </c>
      <c r="B57" s="9">
        <v>1220</v>
      </c>
    </row>
    <row r="58" spans="1:2" x14ac:dyDescent="0.3">
      <c r="A58" s="1">
        <v>8</v>
      </c>
      <c r="B58" s="8">
        <v>2667</v>
      </c>
    </row>
    <row r="59" spans="1:2" x14ac:dyDescent="0.3">
      <c r="A59" s="1">
        <v>4</v>
      </c>
      <c r="B59" s="9">
        <v>820</v>
      </c>
    </row>
    <row r="60" spans="1:2" x14ac:dyDescent="0.3">
      <c r="A60" s="1">
        <v>7</v>
      </c>
      <c r="B60" s="8">
        <v>1757</v>
      </c>
    </row>
    <row r="61" spans="1:2" x14ac:dyDescent="0.3">
      <c r="A61" s="1">
        <v>6</v>
      </c>
      <c r="B61" s="9">
        <v>1463</v>
      </c>
    </row>
    <row r="62" spans="1:2" x14ac:dyDescent="0.3">
      <c r="A62" s="1">
        <v>2</v>
      </c>
      <c r="B62" s="8">
        <v>1109</v>
      </c>
    </row>
    <row r="63" spans="1:2" x14ac:dyDescent="0.3">
      <c r="A63" s="1">
        <v>6</v>
      </c>
      <c r="B63" s="9">
        <v>1740</v>
      </c>
    </row>
    <row r="64" spans="1:2" x14ac:dyDescent="0.3">
      <c r="A64" s="1">
        <v>5</v>
      </c>
      <c r="B64" s="8">
        <v>542</v>
      </c>
    </row>
    <row r="65" spans="1:2" x14ac:dyDescent="0.3">
      <c r="A65" s="1">
        <v>5</v>
      </c>
      <c r="B65" s="9">
        <v>2483</v>
      </c>
    </row>
    <row r="66" spans="1:2" x14ac:dyDescent="0.3">
      <c r="A66" s="1">
        <v>5</v>
      </c>
      <c r="B66" s="8">
        <v>511</v>
      </c>
    </row>
    <row r="67" spans="1:2" x14ac:dyDescent="0.3">
      <c r="A67" s="1">
        <v>4</v>
      </c>
      <c r="B67" s="9">
        <v>2759</v>
      </c>
    </row>
    <row r="68" spans="1:2" x14ac:dyDescent="0.3">
      <c r="A68" s="1">
        <v>5</v>
      </c>
      <c r="B68" s="8">
        <v>1024</v>
      </c>
    </row>
    <row r="69" spans="1:2" x14ac:dyDescent="0.3">
      <c r="A69" s="1">
        <v>6</v>
      </c>
      <c r="B69" s="9">
        <v>2050</v>
      </c>
    </row>
    <row r="70" spans="1:2" x14ac:dyDescent="0.3">
      <c r="A70" s="1">
        <v>8</v>
      </c>
      <c r="B70" s="8">
        <v>1708</v>
      </c>
    </row>
    <row r="71" spans="1:2" x14ac:dyDescent="0.3">
      <c r="A71" s="1">
        <v>2</v>
      </c>
      <c r="B71" s="9">
        <v>1809</v>
      </c>
    </row>
    <row r="72" spans="1:2" x14ac:dyDescent="0.3">
      <c r="A72" s="1">
        <v>8</v>
      </c>
      <c r="B72" s="8">
        <v>1546</v>
      </c>
    </row>
    <row r="73" spans="1:2" x14ac:dyDescent="0.3">
      <c r="A73" s="1">
        <v>6</v>
      </c>
      <c r="B73" s="9">
        <v>1835</v>
      </c>
    </row>
    <row r="74" spans="1:2" x14ac:dyDescent="0.3">
      <c r="A74" s="1">
        <v>7</v>
      </c>
      <c r="B74" s="8">
        <v>1333</v>
      </c>
    </row>
    <row r="75" spans="1:2" x14ac:dyDescent="0.3">
      <c r="A75" s="1">
        <v>8</v>
      </c>
      <c r="B75" s="9">
        <v>2737</v>
      </c>
    </row>
    <row r="76" spans="1:2" x14ac:dyDescent="0.3">
      <c r="A76" s="1">
        <v>7</v>
      </c>
      <c r="B76" s="8">
        <v>542</v>
      </c>
    </row>
    <row r="77" spans="1:2" x14ac:dyDescent="0.3">
      <c r="A77" s="1">
        <v>2</v>
      </c>
      <c r="B77" s="9">
        <v>1079</v>
      </c>
    </row>
    <row r="78" spans="1:2" x14ac:dyDescent="0.3">
      <c r="A78" s="1">
        <v>6</v>
      </c>
      <c r="B78" s="8">
        <v>2330</v>
      </c>
    </row>
    <row r="79" spans="1:2" x14ac:dyDescent="0.3">
      <c r="A79" s="1">
        <v>2</v>
      </c>
      <c r="B79" s="9">
        <v>700</v>
      </c>
    </row>
    <row r="80" spans="1:2" x14ac:dyDescent="0.3">
      <c r="A80" s="1">
        <v>1</v>
      </c>
      <c r="B80" s="8">
        <v>2711</v>
      </c>
    </row>
    <row r="81" spans="1:2" x14ac:dyDescent="0.3">
      <c r="A81" s="1">
        <v>2</v>
      </c>
      <c r="B81" s="9">
        <v>1388</v>
      </c>
    </row>
    <row r="82" spans="1:2" x14ac:dyDescent="0.3">
      <c r="A82" s="1">
        <v>6</v>
      </c>
      <c r="B82" s="8">
        <v>1906</v>
      </c>
    </row>
    <row r="83" spans="1:2" x14ac:dyDescent="0.3">
      <c r="A83" s="1">
        <v>4</v>
      </c>
      <c r="B83" s="9">
        <v>2314</v>
      </c>
    </row>
    <row r="84" spans="1:2" x14ac:dyDescent="0.3">
      <c r="A84" s="1">
        <v>6</v>
      </c>
      <c r="B84" s="8">
        <v>2036</v>
      </c>
    </row>
    <row r="85" spans="1:2" x14ac:dyDescent="0.3">
      <c r="A85" s="1">
        <v>8</v>
      </c>
      <c r="B85" s="9">
        <v>2725</v>
      </c>
    </row>
    <row r="86" spans="1:2" x14ac:dyDescent="0.3">
      <c r="A86" s="1">
        <v>4</v>
      </c>
      <c r="B86" s="8">
        <v>1992</v>
      </c>
    </row>
    <row r="87" spans="1:2" x14ac:dyDescent="0.3">
      <c r="A87" s="1">
        <v>1</v>
      </c>
      <c r="B87" s="9">
        <v>2608</v>
      </c>
    </row>
    <row r="88" spans="1:2" x14ac:dyDescent="0.3">
      <c r="A88" s="1">
        <v>5</v>
      </c>
      <c r="B88" s="8">
        <v>1026</v>
      </c>
    </row>
    <row r="89" spans="1:2" x14ac:dyDescent="0.3">
      <c r="A89" s="1">
        <v>4</v>
      </c>
      <c r="B89" s="9">
        <v>1022</v>
      </c>
    </row>
    <row r="90" spans="1:2" x14ac:dyDescent="0.3">
      <c r="A90" s="1">
        <v>1</v>
      </c>
      <c r="B90" s="8">
        <v>2640</v>
      </c>
    </row>
    <row r="91" spans="1:2" x14ac:dyDescent="0.3">
      <c r="A91" s="1">
        <v>4</v>
      </c>
      <c r="B91" s="9">
        <v>2950</v>
      </c>
    </row>
    <row r="92" spans="1:2" x14ac:dyDescent="0.3">
      <c r="A92" s="1">
        <v>7</v>
      </c>
      <c r="B92" s="8">
        <v>1495</v>
      </c>
    </row>
    <row r="93" spans="1:2" x14ac:dyDescent="0.3">
      <c r="A93" s="1">
        <v>1</v>
      </c>
      <c r="B93" s="9">
        <v>2157</v>
      </c>
    </row>
    <row r="94" spans="1:2" x14ac:dyDescent="0.3">
      <c r="A94" s="1">
        <v>5</v>
      </c>
      <c r="B94" s="8">
        <v>2134</v>
      </c>
    </row>
    <row r="95" spans="1:2" x14ac:dyDescent="0.3">
      <c r="A95" s="1">
        <v>3</v>
      </c>
      <c r="B95" s="9">
        <v>1013</v>
      </c>
    </row>
    <row r="96" spans="1:2" x14ac:dyDescent="0.3">
      <c r="A96" s="1">
        <v>1</v>
      </c>
      <c r="B96" s="8">
        <v>1297</v>
      </c>
    </row>
    <row r="97" spans="1:2" x14ac:dyDescent="0.3">
      <c r="A97" s="1">
        <v>5</v>
      </c>
      <c r="B97" s="9">
        <v>1245</v>
      </c>
    </row>
    <row r="98" spans="1:2" x14ac:dyDescent="0.3">
      <c r="A98" s="1">
        <v>6</v>
      </c>
      <c r="B98" s="8">
        <v>2800</v>
      </c>
    </row>
    <row r="99" spans="1:2" x14ac:dyDescent="0.3">
      <c r="A99" s="1">
        <v>2</v>
      </c>
      <c r="B99" s="9">
        <v>1221</v>
      </c>
    </row>
    <row r="100" spans="1:2" x14ac:dyDescent="0.3">
      <c r="A100" s="1">
        <v>7</v>
      </c>
      <c r="B100" s="8">
        <v>944</v>
      </c>
    </row>
    <row r="101" spans="1:2" x14ac:dyDescent="0.3">
      <c r="A101" s="1">
        <v>2</v>
      </c>
      <c r="B101" s="9">
        <v>1186</v>
      </c>
    </row>
    <row r="102" spans="1:2" x14ac:dyDescent="0.3">
      <c r="A102" s="1">
        <v>6</v>
      </c>
      <c r="B102" s="8">
        <v>2865</v>
      </c>
    </row>
    <row r="103" spans="1:2" x14ac:dyDescent="0.3">
      <c r="A103" s="1">
        <v>7</v>
      </c>
      <c r="B103" s="9">
        <v>1650</v>
      </c>
    </row>
    <row r="104" spans="1:2" x14ac:dyDescent="0.3">
      <c r="A104" s="1">
        <v>5</v>
      </c>
      <c r="B104" s="8">
        <v>2338</v>
      </c>
    </row>
    <row r="105" spans="1:2" x14ac:dyDescent="0.3">
      <c r="A105" s="1">
        <v>2</v>
      </c>
      <c r="B105" s="9">
        <v>2961</v>
      </c>
    </row>
    <row r="106" spans="1:2" x14ac:dyDescent="0.3">
      <c r="A106" s="1">
        <v>1</v>
      </c>
      <c r="B106" s="8">
        <v>2581</v>
      </c>
    </row>
    <row r="107" spans="1:2" x14ac:dyDescent="0.3">
      <c r="A107" s="1">
        <v>5</v>
      </c>
      <c r="B107" s="9">
        <v>2929</v>
      </c>
    </row>
    <row r="108" spans="1:2" x14ac:dyDescent="0.3">
      <c r="A108" s="1">
        <v>3</v>
      </c>
      <c r="B108" s="8">
        <v>1632</v>
      </c>
    </row>
    <row r="109" spans="1:2" x14ac:dyDescent="0.3">
      <c r="A109" s="1">
        <v>2</v>
      </c>
      <c r="B109" s="9">
        <v>2499</v>
      </c>
    </row>
    <row r="110" spans="1:2" x14ac:dyDescent="0.3">
      <c r="A110" s="1">
        <v>3</v>
      </c>
      <c r="B110" s="8">
        <v>2643</v>
      </c>
    </row>
    <row r="111" spans="1:2" x14ac:dyDescent="0.3">
      <c r="A111" s="1">
        <v>3</v>
      </c>
      <c r="B111" s="9">
        <v>2871</v>
      </c>
    </row>
  </sheetData>
  <mergeCells count="1">
    <mergeCell ref="E20:K2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4FD64-032C-4D33-8C11-D0C9158A1E7A}">
  <dimension ref="A3:O17"/>
  <sheetViews>
    <sheetView tabSelected="1" workbookViewId="0">
      <selection activeCell="B13" sqref="B13"/>
    </sheetView>
  </sheetViews>
  <sheetFormatPr defaultRowHeight="14.4" x14ac:dyDescent="0.3"/>
  <cols>
    <col min="1" max="1" width="12.5546875" bestFit="1" customWidth="1"/>
    <col min="2" max="3" width="16.88671875" bestFit="1" customWidth="1"/>
  </cols>
  <sheetData>
    <row r="3" spans="1:15" x14ac:dyDescent="0.3">
      <c r="A3" s="4" t="s">
        <v>134</v>
      </c>
      <c r="B3" t="s">
        <v>136</v>
      </c>
    </row>
    <row r="4" spans="1:15" x14ac:dyDescent="0.3">
      <c r="A4" s="5" t="s">
        <v>9</v>
      </c>
      <c r="B4" s="6">
        <v>120021.19999999998</v>
      </c>
      <c r="L4" s="16" t="s">
        <v>146</v>
      </c>
      <c r="M4" s="16"/>
      <c r="N4" s="16"/>
      <c r="O4" s="16"/>
    </row>
    <row r="5" spans="1:15" x14ac:dyDescent="0.3">
      <c r="A5" s="5" t="s">
        <v>11</v>
      </c>
      <c r="B5" s="6">
        <v>106852.8</v>
      </c>
      <c r="L5" s="16"/>
      <c r="M5" s="16"/>
      <c r="N5" s="16"/>
      <c r="O5" s="16"/>
    </row>
    <row r="6" spans="1:15" x14ac:dyDescent="0.3">
      <c r="A6" s="5" t="s">
        <v>7</v>
      </c>
      <c r="B6" s="6">
        <v>124918.79999999994</v>
      </c>
      <c r="L6" s="16"/>
      <c r="M6" s="16"/>
      <c r="N6" s="16"/>
      <c r="O6" s="16"/>
    </row>
    <row r="7" spans="1:15" x14ac:dyDescent="0.3">
      <c r="A7" s="5" t="s">
        <v>135</v>
      </c>
      <c r="B7" s="6">
        <v>351792.79999999993</v>
      </c>
      <c r="L7" s="16"/>
      <c r="M7" s="16"/>
      <c r="N7" s="16"/>
      <c r="O7" s="16"/>
    </row>
    <row r="8" spans="1:15" x14ac:dyDescent="0.3">
      <c r="L8" s="16"/>
      <c r="M8" s="16"/>
      <c r="N8" s="16"/>
      <c r="O8" s="16"/>
    </row>
    <row r="9" spans="1:15" x14ac:dyDescent="0.3">
      <c r="L9" s="16"/>
      <c r="M9" s="16"/>
      <c r="N9" s="16"/>
      <c r="O9" s="16"/>
    </row>
    <row r="10" spans="1:15" x14ac:dyDescent="0.3">
      <c r="L10" s="16"/>
      <c r="M10" s="16"/>
      <c r="N10" s="16"/>
      <c r="O10" s="16"/>
    </row>
    <row r="11" spans="1:15" x14ac:dyDescent="0.3">
      <c r="L11" s="16"/>
      <c r="M11" s="16"/>
      <c r="N11" s="16"/>
      <c r="O11" s="16"/>
    </row>
    <row r="12" spans="1:15" x14ac:dyDescent="0.3">
      <c r="L12" s="16"/>
      <c r="M12" s="16"/>
      <c r="N12" s="16"/>
      <c r="O12" s="16"/>
    </row>
    <row r="13" spans="1:15" x14ac:dyDescent="0.3">
      <c r="L13" s="16"/>
      <c r="M13" s="16"/>
      <c r="N13" s="16"/>
      <c r="O13" s="16"/>
    </row>
    <row r="14" spans="1:15" x14ac:dyDescent="0.3">
      <c r="L14" s="16"/>
      <c r="M14" s="16"/>
      <c r="N14" s="16"/>
      <c r="O14" s="16"/>
    </row>
    <row r="15" spans="1:15" x14ac:dyDescent="0.3">
      <c r="L15" s="16"/>
      <c r="M15" s="16"/>
      <c r="N15" s="16"/>
      <c r="O15" s="16"/>
    </row>
    <row r="16" spans="1:15" x14ac:dyDescent="0.3">
      <c r="L16" s="16"/>
      <c r="M16" s="16"/>
      <c r="N16" s="16"/>
      <c r="O16" s="16"/>
    </row>
    <row r="17" spans="12:15" x14ac:dyDescent="0.3">
      <c r="L17" s="16"/>
      <c r="M17" s="16"/>
      <c r="N17" s="16"/>
      <c r="O17" s="16"/>
    </row>
  </sheetData>
  <mergeCells count="1">
    <mergeCell ref="L4:O17"/>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DESCRIPTIVE ANALYSIS</vt:lpstr>
      <vt:lpstr>bar chart</vt:lpstr>
      <vt:lpstr>histogram</vt:lpstr>
      <vt:lpstr>SCATTER PLOT</vt:lpstr>
      <vt:lpstr>pie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Pankaj Gupta</dc:creator>
  <cp:lastModifiedBy>Pankaj Gupta</cp:lastModifiedBy>
  <dcterms:created xsi:type="dcterms:W3CDTF">2025-08-18T10:11:52Z</dcterms:created>
  <dcterms:modified xsi:type="dcterms:W3CDTF">2025-08-18T11:28:21Z</dcterms:modified>
</cp:coreProperties>
</file>