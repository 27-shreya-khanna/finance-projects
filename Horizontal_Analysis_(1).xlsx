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CF1F021C-758B-4AF9-AFB5-B617E195A1F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come Statement" sheetId="1" r:id="rId1"/>
    <sheet name="Sheet1" sheetId="3" r:id="rId2"/>
    <sheet name="IS -Vertical Analysi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" i="1" l="1"/>
  <c r="B23" i="1"/>
  <c r="C19" i="1"/>
  <c r="B19" i="1"/>
  <c r="C17" i="1"/>
  <c r="B17" i="1"/>
  <c r="D22" i="1"/>
  <c r="C22" i="1"/>
  <c r="B22" i="1"/>
  <c r="D15" i="1"/>
  <c r="C15" i="1"/>
  <c r="B15" i="1"/>
  <c r="D14" i="1"/>
  <c r="C14" i="1"/>
  <c r="B14" i="1"/>
  <c r="C13" i="1"/>
  <c r="B13" i="1"/>
  <c r="D12" i="1"/>
  <c r="C12" i="1"/>
  <c r="C10" i="1"/>
  <c r="C11" i="1" s="1"/>
  <c r="B12" i="1"/>
  <c r="B10" i="1"/>
  <c r="B7" i="1"/>
  <c r="B8" i="1"/>
  <c r="B9" i="1" s="1"/>
  <c r="D10" i="1"/>
  <c r="C9" i="1"/>
  <c r="D8" i="1"/>
  <c r="C8" i="1"/>
  <c r="C7" i="1"/>
  <c r="J7" i="2"/>
  <c r="I7" i="2"/>
  <c r="H7" i="2"/>
  <c r="J6" i="2"/>
  <c r="I6" i="2"/>
  <c r="H6" i="2"/>
  <c r="B11" i="1" l="1"/>
</calcChain>
</file>

<file path=xl/sharedStrings.xml><?xml version="1.0" encoding="utf-8"?>
<sst xmlns="http://schemas.openxmlformats.org/spreadsheetml/2006/main" count="107" uniqueCount="54">
  <si>
    <t>Comparative /Horizontal Analysis</t>
  </si>
  <si>
    <t>Income Statement</t>
  </si>
  <si>
    <t>Particulars</t>
  </si>
  <si>
    <t>Revenue</t>
  </si>
  <si>
    <t>% Change</t>
  </si>
  <si>
    <t>COGS</t>
  </si>
  <si>
    <t>Gross Profit</t>
  </si>
  <si>
    <t>Operating Expenses</t>
  </si>
  <si>
    <t>Operating Profit</t>
  </si>
  <si>
    <t>Interest</t>
  </si>
  <si>
    <t>Profit Before Tax</t>
  </si>
  <si>
    <t>Tax</t>
  </si>
  <si>
    <t>Profit after Tax</t>
  </si>
  <si>
    <t>Discussion Points</t>
  </si>
  <si>
    <t>Which items are changing majorly (increase or decrease)</t>
  </si>
  <si>
    <t>Which items do not show major change</t>
  </si>
  <si>
    <t>Are profits Changing as per Revenue</t>
  </si>
  <si>
    <t>Cost as a percentage of Sales</t>
  </si>
  <si>
    <t>Margin Ratios</t>
  </si>
  <si>
    <t>Gross Profit Margin</t>
  </si>
  <si>
    <t>Operating Profit Margin</t>
  </si>
  <si>
    <t>Net Profit Margin</t>
  </si>
  <si>
    <t>Trend Analysis</t>
  </si>
  <si>
    <t>Seek Clarification for increase from annual reports if possible</t>
  </si>
  <si>
    <t>Company Name:</t>
  </si>
  <si>
    <t>Vertical Analysis</t>
  </si>
  <si>
    <t>Revenue as Base</t>
  </si>
  <si>
    <t>Which items are changing majorly wrt revenue</t>
  </si>
  <si>
    <t>Seek Clarification for increase in a particular year  from annual reports if possible</t>
  </si>
  <si>
    <t>Profit &amp; Loss</t>
  </si>
  <si>
    <t>Standalone Figures in Rs. Crores / View Consolidated</t>
  </si>
  <si>
    <t> Related Party</t>
  </si>
  <si>
    <t>TTM</t>
  </si>
  <si>
    <r>
      <t>Sales </t>
    </r>
    <r>
      <rPr>
        <sz val="11"/>
        <color rgb="FF665EFD"/>
        <rFont val="Arial"/>
        <family val="2"/>
      </rPr>
      <t>+</t>
    </r>
  </si>
  <si>
    <r>
      <t>Expenses </t>
    </r>
    <r>
      <rPr>
        <sz val="11"/>
        <color rgb="FF665EFD"/>
        <rFont val="Arial"/>
        <family val="2"/>
      </rPr>
      <t>+</t>
    </r>
  </si>
  <si>
    <t>OPM %</t>
  </si>
  <si>
    <r>
      <t>Other Income </t>
    </r>
    <r>
      <rPr>
        <sz val="11"/>
        <color rgb="FF665EFD"/>
        <rFont val="Arial"/>
        <family val="2"/>
      </rPr>
      <t>+</t>
    </r>
  </si>
  <si>
    <t>Depreciation</t>
  </si>
  <si>
    <t>Profit before tax</t>
  </si>
  <si>
    <t>Tax %</t>
  </si>
  <si>
    <r>
      <t>Net Profit </t>
    </r>
    <r>
      <rPr>
        <sz val="11"/>
        <color rgb="FF665EFD"/>
        <rFont val="Arial"/>
        <family val="2"/>
      </rPr>
      <t>+</t>
    </r>
  </si>
  <si>
    <t>EPS in Rs</t>
  </si>
  <si>
    <t>Dividend Payout %</t>
  </si>
  <si>
    <t>Compounded Sales Growth</t>
  </si>
  <si>
    <t>10 Years:</t>
  </si>
  <si>
    <t>%</t>
  </si>
  <si>
    <t>5 Years:</t>
  </si>
  <si>
    <t>3 Years:</t>
  </si>
  <si>
    <t>TTM:</t>
  </si>
  <si>
    <t>Compounded Profit Growth</t>
  </si>
  <si>
    <t>Stock Price CAGR</t>
  </si>
  <si>
    <t>1 Year:</t>
  </si>
  <si>
    <t>Return on Equity</t>
  </si>
  <si>
    <t>Last Year: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</si>
</sst>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8" formatCode="#,##0.0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i/>
      <sz val="12"/>
      <color rgb="FFFF0000"/>
      <name val="Times New Roman"/>
      <family val="1"/>
    </font>
    <font>
      <sz val="11"/>
      <color theme="1"/>
      <name val="Calibri"/>
      <family val="2"/>
      <scheme val="minor"/>
    </font>
    <font>
      <sz val="8"/>
      <color rgb="FF22222F"/>
      <name val="Arial"/>
      <family val="2"/>
    </font>
    <font>
      <sz val="10"/>
      <color rgb="FF22222F"/>
      <name val="Arial"/>
      <family val="2"/>
    </font>
    <font>
      <sz val="18"/>
      <color rgb="FF22222F"/>
      <name val="Arial"/>
      <family val="2"/>
    </font>
    <font>
      <sz val="11"/>
      <color rgb="FF606F7B"/>
      <name val="Arial"/>
      <family val="2"/>
    </font>
    <font>
      <sz val="11"/>
      <color theme="1"/>
      <name val="Arial"/>
      <family val="2"/>
    </font>
    <font>
      <sz val="11"/>
      <color rgb="FF665EFD"/>
      <name val="Arial"/>
      <family val="2"/>
    </font>
    <font>
      <sz val="11"/>
      <color theme="1"/>
      <name val="Arial"/>
      <family val="2"/>
    </font>
    <font>
      <sz val="11"/>
      <color rgb="FF665EFD"/>
      <name val="Arial"/>
      <family val="2"/>
    </font>
    <font>
      <sz val="11"/>
      <color rgb="FF22222F"/>
      <name val="Arial"/>
      <family val="2"/>
    </font>
    <font>
      <sz val="11"/>
      <color rgb="FF606F7B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DBE4F0"/>
      </bottom>
      <diagonal/>
    </border>
    <border>
      <left/>
      <right/>
      <top style="medium">
        <color rgb="FFDBE4F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7" fillId="0" borderId="0" applyNumberFormat="0" applyFill="0" applyBorder="0" applyAlignment="0" applyProtection="0"/>
  </cellStyleXfs>
  <cellXfs count="49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2" xfId="0" applyFont="1" applyFill="1" applyBorder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3" fillId="2" borderId="1" xfId="0" applyFont="1" applyFill="1" applyBorder="1"/>
    <xf numFmtId="0" fontId="2" fillId="2" borderId="2" xfId="0" applyFont="1" applyFill="1" applyBorder="1"/>
    <xf numFmtId="9" fontId="1" fillId="2" borderId="0" xfId="1" applyFont="1" applyFill="1"/>
    <xf numFmtId="0" fontId="2" fillId="2" borderId="0" xfId="0" applyFont="1" applyFill="1" applyAlignment="1">
      <alignment horizontal="center"/>
    </xf>
    <xf numFmtId="3" fontId="1" fillId="2" borderId="0" xfId="0" applyNumberFormat="1" applyFont="1" applyFill="1"/>
    <xf numFmtId="3" fontId="6" fillId="0" borderId="0" xfId="0" applyNumberFormat="1" applyFont="1"/>
    <xf numFmtId="9" fontId="4" fillId="2" borderId="0" xfId="1" applyFont="1" applyFill="1"/>
    <xf numFmtId="9" fontId="3" fillId="2" borderId="0" xfId="1" applyFont="1" applyFill="1"/>
    <xf numFmtId="3" fontId="1" fillId="2" borderId="2" xfId="0" applyNumberFormat="1" applyFont="1" applyFill="1" applyBorder="1"/>
    <xf numFmtId="0" fontId="8" fillId="0" borderId="0" xfId="0" applyFont="1" applyAlignment="1">
      <alignment vertical="center" wrapText="1"/>
    </xf>
    <xf numFmtId="0" fontId="17" fillId="0" borderId="0" xfId="3" applyAlignment="1">
      <alignment vertical="center" wrapText="1"/>
    </xf>
    <xf numFmtId="0" fontId="7" fillId="0" borderId="0" xfId="0" applyFont="1" applyAlignment="1">
      <alignment vertical="center" wrapText="1"/>
    </xf>
    <xf numFmtId="0" fontId="9" fillId="3" borderId="3" xfId="0" applyFont="1" applyFill="1" applyBorder="1" applyAlignment="1">
      <alignment horizontal="left" vertical="center" indent="2"/>
    </xf>
    <xf numFmtId="17" fontId="9" fillId="3" borderId="3" xfId="0" applyNumberFormat="1" applyFont="1" applyFill="1" applyBorder="1" applyAlignment="1">
      <alignment horizontal="right" vertical="center" wrapText="1"/>
    </xf>
    <xf numFmtId="0" fontId="9" fillId="3" borderId="3" xfId="0" applyFont="1" applyFill="1" applyBorder="1" applyAlignment="1">
      <alignment horizontal="right" vertical="center" wrapText="1"/>
    </xf>
    <xf numFmtId="0" fontId="10" fillId="4" borderId="0" xfId="0" applyFont="1" applyFill="1" applyAlignment="1">
      <alignment horizontal="left" vertical="center" indent="2"/>
    </xf>
    <xf numFmtId="3" fontId="10" fillId="4" borderId="0" xfId="0" applyNumberFormat="1" applyFont="1" applyFill="1" applyAlignment="1">
      <alignment horizontal="right" vertical="center" wrapText="1"/>
    </xf>
    <xf numFmtId="0" fontId="10" fillId="3" borderId="0" xfId="0" applyFont="1" applyFill="1" applyAlignment="1">
      <alignment horizontal="left" vertical="center" indent="2"/>
    </xf>
    <xf numFmtId="3" fontId="10" fillId="3" borderId="0" xfId="0" applyNumberFormat="1" applyFont="1" applyFill="1" applyAlignment="1">
      <alignment horizontal="right" vertical="center" wrapText="1"/>
    </xf>
    <xf numFmtId="0" fontId="12" fillId="4" borderId="4" xfId="0" applyFont="1" applyFill="1" applyBorder="1" applyAlignment="1">
      <alignment horizontal="left" vertical="center" indent="2"/>
    </xf>
    <xf numFmtId="3" fontId="12" fillId="4" borderId="4" xfId="0" applyNumberFormat="1" applyFont="1" applyFill="1" applyBorder="1" applyAlignment="1">
      <alignment horizontal="right" vertical="center" wrapText="1"/>
    </xf>
    <xf numFmtId="9" fontId="10" fillId="3" borderId="0" xfId="0" applyNumberFormat="1" applyFont="1" applyFill="1" applyAlignment="1">
      <alignment horizontal="right" vertical="center" wrapText="1"/>
    </xf>
    <xf numFmtId="0" fontId="10" fillId="4" borderId="0" xfId="0" applyFont="1" applyFill="1" applyAlignment="1">
      <alignment horizontal="right" vertical="center" wrapText="1"/>
    </xf>
    <xf numFmtId="0" fontId="10" fillId="3" borderId="0" xfId="0" applyFont="1" applyFill="1" applyAlignment="1">
      <alignment horizontal="right" vertical="center" wrapText="1"/>
    </xf>
    <xf numFmtId="0" fontId="12" fillId="3" borderId="4" xfId="0" applyFont="1" applyFill="1" applyBorder="1" applyAlignment="1">
      <alignment horizontal="left" vertical="center" indent="2"/>
    </xf>
    <xf numFmtId="3" fontId="12" fillId="3" borderId="4" xfId="0" applyNumberFormat="1" applyFont="1" applyFill="1" applyBorder="1" applyAlignment="1">
      <alignment horizontal="right" vertical="center" wrapText="1"/>
    </xf>
    <xf numFmtId="9" fontId="10" fillId="4" borderId="0" xfId="0" applyNumberFormat="1" applyFont="1" applyFill="1" applyAlignment="1">
      <alignment horizontal="right" vertical="center" wrapText="1"/>
    </xf>
    <xf numFmtId="0" fontId="15" fillId="3" borderId="7" xfId="0" applyFont="1" applyFill="1" applyBorder="1" applyAlignment="1">
      <alignment horizontal="left" vertical="center" wrapText="1"/>
    </xf>
    <xf numFmtId="0" fontId="16" fillId="3" borderId="8" xfId="0" applyFont="1" applyFill="1" applyBorder="1" applyAlignment="1">
      <alignment horizontal="right" vertical="center" wrapText="1"/>
    </xf>
    <xf numFmtId="9" fontId="16" fillId="3" borderId="8" xfId="0" applyNumberFormat="1" applyFont="1" applyFill="1" applyBorder="1" applyAlignment="1">
      <alignment horizontal="right" vertical="center" wrapText="1"/>
    </xf>
    <xf numFmtId="0" fontId="15" fillId="3" borderId="9" xfId="0" applyFont="1" applyFill="1" applyBorder="1" applyAlignment="1">
      <alignment horizontal="left" vertical="center" wrapText="1"/>
    </xf>
    <xf numFmtId="9" fontId="16" fillId="3" borderId="10" xfId="0" applyNumberFormat="1" applyFont="1" applyFill="1" applyBorder="1" applyAlignment="1">
      <alignment horizontal="right" vertical="center" wrapText="1"/>
    </xf>
    <xf numFmtId="0" fontId="14" fillId="3" borderId="5" xfId="0" applyFont="1" applyFill="1" applyBorder="1" applyAlignment="1">
      <alignment horizontal="left" vertical="center" wrapText="1"/>
    </xf>
    <xf numFmtId="0" fontId="14" fillId="3" borderId="6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right" vertical="center" wrapText="1"/>
    </xf>
    <xf numFmtId="168" fontId="1" fillId="2" borderId="0" xfId="0" applyNumberFormat="1" applyFont="1" applyFill="1"/>
    <xf numFmtId="43" fontId="1" fillId="2" borderId="0" xfId="2" applyFont="1" applyFill="1"/>
    <xf numFmtId="9" fontId="1" fillId="2" borderId="2" xfId="0" applyNumberFormat="1" applyFont="1" applyFill="1" applyBorder="1"/>
    <xf numFmtId="43" fontId="1" fillId="2" borderId="2" xfId="2" applyFont="1" applyFill="1" applyBorder="1"/>
    <xf numFmtId="43" fontId="1" fillId="2" borderId="2" xfId="0" applyNumberFormat="1" applyFont="1" applyFill="1" applyBorder="1"/>
    <xf numFmtId="0" fontId="3" fillId="2" borderId="0" xfId="0" applyNumberFormat="1" applyFont="1" applyFill="1"/>
    <xf numFmtId="9" fontId="3" fillId="2" borderId="1" xfId="1" applyFont="1" applyFill="1" applyBorder="1"/>
  </cellXfs>
  <cellStyles count="4">
    <cellStyle name="Comma" xfId="2" builtinId="3"/>
    <cellStyle name="Hyperlink" xfId="3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company/SWIGGY/consolidat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opLeftCell="A5" workbookViewId="0">
      <selection activeCell="B12" sqref="B12"/>
    </sheetView>
  </sheetViews>
  <sheetFormatPr defaultColWidth="9.109375" defaultRowHeight="15.6" x14ac:dyDescent="0.3"/>
  <cols>
    <col min="1" max="1" width="27.6640625" style="1" customWidth="1"/>
    <col min="2" max="2" width="24.109375" style="1" bestFit="1" customWidth="1"/>
    <col min="3" max="3" width="22.6640625" style="1" customWidth="1"/>
    <col min="4" max="4" width="22.6640625" style="1" bestFit="1" customWidth="1"/>
    <col min="5" max="16384" width="9.109375" style="1"/>
  </cols>
  <sheetData>
    <row r="1" spans="1:5" x14ac:dyDescent="0.3">
      <c r="A1" s="4" t="s">
        <v>24</v>
      </c>
    </row>
    <row r="2" spans="1:5" x14ac:dyDescent="0.3">
      <c r="A2" s="10" t="s">
        <v>0</v>
      </c>
      <c r="B2" s="10"/>
      <c r="C2" s="10"/>
      <c r="D2" s="10"/>
      <c r="E2" s="4"/>
    </row>
    <row r="3" spans="1:5" x14ac:dyDescent="0.3">
      <c r="A3" s="10" t="s">
        <v>1</v>
      </c>
      <c r="B3" s="10"/>
      <c r="C3" s="10"/>
      <c r="D3" s="10"/>
      <c r="E3" s="4"/>
    </row>
    <row r="5" spans="1:5" x14ac:dyDescent="0.3">
      <c r="A5" s="8" t="s">
        <v>2</v>
      </c>
      <c r="B5" s="8">
        <v>2022</v>
      </c>
      <c r="C5" s="8">
        <v>2021</v>
      </c>
      <c r="D5" s="8">
        <v>2020</v>
      </c>
    </row>
    <row r="6" spans="1:5" x14ac:dyDescent="0.3">
      <c r="A6" s="4" t="s">
        <v>3</v>
      </c>
      <c r="B6" s="11">
        <v>5705</v>
      </c>
      <c r="C6" s="12">
        <v>2547</v>
      </c>
      <c r="D6" s="12">
        <v>3468</v>
      </c>
    </row>
    <row r="7" spans="1:5" x14ac:dyDescent="0.3">
      <c r="A7" s="6" t="s">
        <v>4</v>
      </c>
      <c r="B7" s="13">
        <f>(C6-B6)/C6</f>
        <v>-1.2398900667451904</v>
      </c>
      <c r="C7" s="13">
        <f>(D6-C6)/D6</f>
        <v>0.26557093425605538</v>
      </c>
      <c r="D7" s="6"/>
    </row>
    <row r="8" spans="1:5" x14ac:dyDescent="0.3">
      <c r="A8" s="4" t="s">
        <v>5</v>
      </c>
      <c r="B8" s="1">
        <f>B6*(40%+6%)</f>
        <v>2624.3</v>
      </c>
      <c r="C8" s="1">
        <f>C6*(22%+3%)</f>
        <v>636.75</v>
      </c>
      <c r="D8" s="1">
        <f>D6*(10%+4%)</f>
        <v>485.52000000000004</v>
      </c>
    </row>
    <row r="9" spans="1:5" x14ac:dyDescent="0.3">
      <c r="A9" s="5" t="s">
        <v>4</v>
      </c>
      <c r="B9" s="14">
        <f>(C8-B8)/C8</f>
        <v>-3.1213977228111505</v>
      </c>
      <c r="C9" s="14">
        <f>(D8-C8)/D8</f>
        <v>-0.31148047454275818</v>
      </c>
      <c r="D9" s="5"/>
    </row>
    <row r="10" spans="1:5" x14ac:dyDescent="0.3">
      <c r="A10" s="8" t="s">
        <v>6</v>
      </c>
      <c r="B10" s="15">
        <f>B6-B9</f>
        <v>5708.1213977228108</v>
      </c>
      <c r="C10" s="15">
        <f>C6-C8</f>
        <v>1910.25</v>
      </c>
      <c r="D10" s="15">
        <f>D6-D8</f>
        <v>2982.48</v>
      </c>
    </row>
    <row r="11" spans="1:5" x14ac:dyDescent="0.3">
      <c r="A11" s="5" t="s">
        <v>4</v>
      </c>
      <c r="B11" s="14">
        <f>(C10-B10)/C10</f>
        <v>-1.9881541147613195</v>
      </c>
      <c r="C11" s="14">
        <f>(D10-C10)/D10</f>
        <v>0.35950953568842037</v>
      </c>
      <c r="D11" s="5"/>
    </row>
    <row r="12" spans="1:5" x14ac:dyDescent="0.3">
      <c r="A12" s="4" t="s">
        <v>7</v>
      </c>
      <c r="B12" s="42">
        <f>B6-B8-Sheet1!D7</f>
        <v>6098.7</v>
      </c>
      <c r="C12" s="43">
        <f>C6-C8-Sheet1!C7</f>
        <v>2923.25</v>
      </c>
      <c r="D12" s="43">
        <f>D6-D8-'Income Statement'!B7</f>
        <v>2983.7198900667454</v>
      </c>
    </row>
    <row r="13" spans="1:5" x14ac:dyDescent="0.3">
      <c r="A13" s="5" t="s">
        <v>4</v>
      </c>
      <c r="B13" s="14">
        <f>C10-B10/B10</f>
        <v>1909.25</v>
      </c>
      <c r="C13" s="14">
        <f>C10-C12/C10</f>
        <v>1908.7197029184663</v>
      </c>
      <c r="D13" s="5"/>
    </row>
    <row r="14" spans="1:5" x14ac:dyDescent="0.3">
      <c r="A14" s="8" t="s">
        <v>8</v>
      </c>
      <c r="B14" s="45">
        <f>B10-B13</f>
        <v>3798.8713977228108</v>
      </c>
      <c r="C14" s="46">
        <f>C10-C12</f>
        <v>-1013</v>
      </c>
      <c r="D14" s="46">
        <f>D10-D12</f>
        <v>-1.2398900667453745</v>
      </c>
    </row>
    <row r="15" spans="1:5" x14ac:dyDescent="0.3">
      <c r="A15" s="5" t="s">
        <v>4</v>
      </c>
      <c r="B15" s="14">
        <f>'Income Statement'!B14/'Income Statement'!D5*100</f>
        <v>188.06294048132725</v>
      </c>
      <c r="C15" s="14">
        <f>C14/'Income Statement'!C5*100</f>
        <v>-50.123701138050471</v>
      </c>
      <c r="D15" s="14">
        <f>D14/'Income Statement'!B5*100</f>
        <v>-6.1319983518564519E-2</v>
      </c>
    </row>
    <row r="16" spans="1:5" x14ac:dyDescent="0.3">
      <c r="A16" s="4" t="s">
        <v>9</v>
      </c>
      <c r="B16" s="1">
        <v>43</v>
      </c>
      <c r="C16" s="1">
        <v>74</v>
      </c>
      <c r="D16" s="1">
        <v>82</v>
      </c>
    </row>
    <row r="17" spans="1:5" ht="16.2" thickBot="1" x14ac:dyDescent="0.35">
      <c r="A17" s="5" t="s">
        <v>4</v>
      </c>
      <c r="B17" s="14">
        <f>(C16-B16)/C16</f>
        <v>0.41891891891891891</v>
      </c>
      <c r="C17" s="14">
        <f>D16-C16/D16</f>
        <v>81.097560975609753</v>
      </c>
      <c r="D17" s="5"/>
    </row>
    <row r="18" spans="1:5" x14ac:dyDescent="0.3">
      <c r="A18" s="8" t="s">
        <v>10</v>
      </c>
      <c r="B18" s="32">
        <v>-3768</v>
      </c>
      <c r="C18" s="32">
        <v>-1314</v>
      </c>
      <c r="D18" s="32">
        <v>-3768</v>
      </c>
    </row>
    <row r="19" spans="1:5" x14ac:dyDescent="0.3">
      <c r="A19" s="5" t="s">
        <v>4</v>
      </c>
      <c r="B19" s="14">
        <f>C18-B18/C18</f>
        <v>-1316.8675799086759</v>
      </c>
      <c r="C19" s="14">
        <f>D18-C18/D18</f>
        <v>-3768.3487261146497</v>
      </c>
      <c r="D19" s="5"/>
    </row>
    <row r="20" spans="1:5" x14ac:dyDescent="0.3">
      <c r="A20" s="4" t="s">
        <v>11</v>
      </c>
      <c r="B20" s="33">
        <v>0</v>
      </c>
      <c r="C20" s="33">
        <v>0</v>
      </c>
      <c r="D20" s="33">
        <v>0</v>
      </c>
    </row>
    <row r="21" spans="1:5" x14ac:dyDescent="0.3">
      <c r="A21" s="5" t="s">
        <v>4</v>
      </c>
      <c r="B21" s="47"/>
      <c r="C21" s="5"/>
    </row>
    <row r="22" spans="1:5" x14ac:dyDescent="0.3">
      <c r="A22" s="8" t="s">
        <v>12</v>
      </c>
      <c r="B22" s="44">
        <f>B18-B20</f>
        <v>-3768</v>
      </c>
      <c r="C22" s="44">
        <f>C18-C20</f>
        <v>-1314</v>
      </c>
      <c r="D22" s="44">
        <f>D18-D20</f>
        <v>-3768</v>
      </c>
    </row>
    <row r="23" spans="1:5" x14ac:dyDescent="0.3">
      <c r="A23" s="7" t="s">
        <v>4</v>
      </c>
      <c r="B23" s="48">
        <f>C22-B22/C22</f>
        <v>-1316.8675799086759</v>
      </c>
      <c r="C23" s="48">
        <f>C22-B22/C22</f>
        <v>-1316.8675799086759</v>
      </c>
      <c r="D23" s="2"/>
    </row>
    <row r="25" spans="1:5" x14ac:dyDescent="0.3">
      <c r="A25" s="4" t="s">
        <v>13</v>
      </c>
    </row>
    <row r="26" spans="1:5" x14ac:dyDescent="0.3">
      <c r="A26" s="1" t="s">
        <v>14</v>
      </c>
    </row>
    <row r="27" spans="1:5" x14ac:dyDescent="0.3">
      <c r="A27" s="1" t="s">
        <v>23</v>
      </c>
    </row>
    <row r="28" spans="1:5" x14ac:dyDescent="0.3">
      <c r="A28" s="1" t="s">
        <v>15</v>
      </c>
    </row>
    <row r="29" spans="1:5" x14ac:dyDescent="0.3">
      <c r="A29" s="1" t="s">
        <v>16</v>
      </c>
    </row>
    <row r="30" spans="1:5" x14ac:dyDescent="0.3">
      <c r="A30" s="1" t="s">
        <v>17</v>
      </c>
      <c r="C30" s="1">
        <v>2022</v>
      </c>
      <c r="D30" s="1">
        <v>2021</v>
      </c>
      <c r="E30" s="1">
        <v>2020</v>
      </c>
    </row>
    <row r="31" spans="1:5" x14ac:dyDescent="0.3">
      <c r="A31" s="1" t="s">
        <v>18</v>
      </c>
    </row>
    <row r="32" spans="1:5" x14ac:dyDescent="0.3">
      <c r="A32" s="1" t="s">
        <v>19</v>
      </c>
    </row>
    <row r="33" spans="1:1" x14ac:dyDescent="0.3">
      <c r="A33" s="1" t="s">
        <v>20</v>
      </c>
    </row>
    <row r="34" spans="1:1" x14ac:dyDescent="0.3">
      <c r="A34" s="1" t="s">
        <v>21</v>
      </c>
    </row>
    <row r="35" spans="1:1" x14ac:dyDescent="0.3">
      <c r="A35" s="1" t="s">
        <v>22</v>
      </c>
    </row>
  </sheetData>
  <mergeCells count="2">
    <mergeCell ref="A2:D2"/>
    <mergeCell ref="A3:D3"/>
  </mergeCells>
  <pageMargins left="0.7" right="0.7" top="0.75" bottom="0.75" header="0.3" footer="0.3"/>
  <pageSetup orientation="portrait" r:id="rId1"/>
  <ignoredErrors>
    <ignoredError sqref="B10 B8:C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FDFB3-B5BE-4597-97E8-6172BC165C04}">
  <dimension ref="A1:H36"/>
  <sheetViews>
    <sheetView topLeftCell="A3" workbookViewId="0">
      <selection activeCell="B13" sqref="B13:D13"/>
    </sheetView>
  </sheetViews>
  <sheetFormatPr defaultRowHeight="14.4" x14ac:dyDescent="0.3"/>
  <cols>
    <col min="1" max="1" width="20.77734375" bestFit="1" customWidth="1"/>
    <col min="2" max="2" width="15.5546875" customWidth="1"/>
    <col min="3" max="3" width="17.5546875" customWidth="1"/>
    <col min="4" max="4" width="15.6640625" customWidth="1"/>
    <col min="5" max="5" width="13.6640625" customWidth="1"/>
    <col min="6" max="6" width="11.5546875" customWidth="1"/>
    <col min="7" max="7" width="14.88671875" customWidth="1"/>
    <col min="8" max="8" width="14.33203125" customWidth="1"/>
  </cols>
  <sheetData>
    <row r="1" spans="1:8" ht="68.400000000000006" x14ac:dyDescent="0.3">
      <c r="A1" s="16" t="s">
        <v>29</v>
      </c>
    </row>
    <row r="2" spans="1:8" ht="115.2" x14ac:dyDescent="0.3">
      <c r="A2" s="17" t="s">
        <v>30</v>
      </c>
    </row>
    <row r="3" spans="1:8" ht="26.4" x14ac:dyDescent="0.3">
      <c r="A3" s="18" t="s">
        <v>31</v>
      </c>
    </row>
    <row r="4" spans="1:8" ht="15" thickBot="1" x14ac:dyDescent="0.35">
      <c r="A4" s="19"/>
      <c r="B4" s="20">
        <v>43891</v>
      </c>
      <c r="C4" s="20">
        <v>44256</v>
      </c>
      <c r="D4" s="20">
        <v>44621</v>
      </c>
      <c r="E4" s="20">
        <v>44986</v>
      </c>
      <c r="F4" s="20">
        <v>45352</v>
      </c>
      <c r="G4" s="20">
        <v>45717</v>
      </c>
      <c r="H4" s="21" t="s">
        <v>32</v>
      </c>
    </row>
    <row r="5" spans="1:8" x14ac:dyDescent="0.3">
      <c r="A5" s="22" t="s">
        <v>33</v>
      </c>
      <c r="B5" s="23">
        <v>3288</v>
      </c>
      <c r="C5" s="23">
        <v>2008</v>
      </c>
      <c r="D5" s="23">
        <v>3557</v>
      </c>
      <c r="E5" s="23">
        <v>4653</v>
      </c>
      <c r="F5" s="23">
        <v>6372</v>
      </c>
      <c r="G5" s="23">
        <v>8796</v>
      </c>
      <c r="H5" s="23">
        <v>9537</v>
      </c>
    </row>
    <row r="6" spans="1:8" ht="15" thickBot="1" x14ac:dyDescent="0.35">
      <c r="A6" s="24" t="s">
        <v>34</v>
      </c>
      <c r="B6" s="25">
        <v>6937</v>
      </c>
      <c r="C6" s="25">
        <v>3021</v>
      </c>
      <c r="D6" s="25">
        <v>6575</v>
      </c>
      <c r="E6" s="25">
        <v>8730</v>
      </c>
      <c r="F6" s="25">
        <v>8661</v>
      </c>
      <c r="G6" s="25">
        <v>11810</v>
      </c>
      <c r="H6" s="25">
        <v>13050</v>
      </c>
    </row>
    <row r="7" spans="1:8" x14ac:dyDescent="0.3">
      <c r="A7" s="26" t="s">
        <v>8</v>
      </c>
      <c r="B7" s="27">
        <v>-3650</v>
      </c>
      <c r="C7" s="27">
        <v>-1013</v>
      </c>
      <c r="D7" s="27">
        <v>-3018</v>
      </c>
      <c r="E7" s="27">
        <v>-4077</v>
      </c>
      <c r="F7" s="27">
        <v>-2289</v>
      </c>
      <c r="G7" s="27">
        <v>-3013</v>
      </c>
      <c r="H7" s="27">
        <v>-3513</v>
      </c>
    </row>
    <row r="8" spans="1:8" x14ac:dyDescent="0.3">
      <c r="A8" s="24" t="s">
        <v>35</v>
      </c>
      <c r="B8" s="28">
        <v>-1.1100000000000001</v>
      </c>
      <c r="C8" s="28">
        <v>-0.5</v>
      </c>
      <c r="D8" s="28">
        <v>-0.85</v>
      </c>
      <c r="E8" s="28">
        <v>-0.88</v>
      </c>
      <c r="F8" s="28">
        <v>-0.36</v>
      </c>
      <c r="G8" s="28">
        <v>-0.34</v>
      </c>
      <c r="H8" s="28">
        <v>-0.37</v>
      </c>
    </row>
    <row r="9" spans="1:8" x14ac:dyDescent="0.3">
      <c r="A9" s="22" t="s">
        <v>36</v>
      </c>
      <c r="B9" s="29">
        <v>158</v>
      </c>
      <c r="C9" s="29">
        <v>-24</v>
      </c>
      <c r="D9" s="29">
        <v>-586</v>
      </c>
      <c r="E9" s="29">
        <v>475</v>
      </c>
      <c r="F9" s="29">
        <v>541</v>
      </c>
      <c r="G9" s="29">
        <v>590</v>
      </c>
      <c r="H9" s="29">
        <v>593</v>
      </c>
    </row>
    <row r="10" spans="1:8" x14ac:dyDescent="0.3">
      <c r="A10" s="24" t="s">
        <v>9</v>
      </c>
      <c r="B10" s="30">
        <v>82</v>
      </c>
      <c r="C10" s="30">
        <v>74</v>
      </c>
      <c r="D10" s="30">
        <v>43</v>
      </c>
      <c r="E10" s="30">
        <v>28</v>
      </c>
      <c r="F10" s="30">
        <v>22</v>
      </c>
      <c r="G10" s="30">
        <v>18</v>
      </c>
      <c r="H10" s="30">
        <v>17</v>
      </c>
    </row>
    <row r="11" spans="1:8" ht="15" thickBot="1" x14ac:dyDescent="0.35">
      <c r="A11" s="22" t="s">
        <v>37</v>
      </c>
      <c r="B11" s="29">
        <v>195</v>
      </c>
      <c r="C11" s="29">
        <v>203</v>
      </c>
      <c r="D11" s="29">
        <v>121</v>
      </c>
      <c r="E11" s="29">
        <v>128</v>
      </c>
      <c r="F11" s="29">
        <v>117</v>
      </c>
      <c r="G11" s="29">
        <v>100</v>
      </c>
      <c r="H11" s="29">
        <v>98</v>
      </c>
    </row>
    <row r="12" spans="1:8" x14ac:dyDescent="0.3">
      <c r="A12" s="31" t="s">
        <v>38</v>
      </c>
      <c r="B12" s="32">
        <v>-3768</v>
      </c>
      <c r="C12" s="32">
        <v>-1314</v>
      </c>
      <c r="D12" s="32">
        <v>-3768</v>
      </c>
      <c r="E12" s="32">
        <v>-3758</v>
      </c>
      <c r="F12" s="32">
        <v>-1888</v>
      </c>
      <c r="G12" s="32">
        <v>-2542</v>
      </c>
      <c r="H12" s="32">
        <v>-3035</v>
      </c>
    </row>
    <row r="13" spans="1:8" ht="15" thickBot="1" x14ac:dyDescent="0.35">
      <c r="A13" s="22" t="s">
        <v>39</v>
      </c>
      <c r="B13" s="33">
        <v>0</v>
      </c>
      <c r="C13" s="33">
        <v>0</v>
      </c>
      <c r="D13" s="33">
        <v>0</v>
      </c>
      <c r="E13" s="33">
        <v>0</v>
      </c>
      <c r="F13" s="33">
        <v>0</v>
      </c>
      <c r="G13" s="33">
        <v>0</v>
      </c>
      <c r="H13" s="29"/>
    </row>
    <row r="14" spans="1:8" x14ac:dyDescent="0.3">
      <c r="A14" s="31" t="s">
        <v>40</v>
      </c>
      <c r="B14" s="32">
        <v>-3768</v>
      </c>
      <c r="C14" s="32">
        <v>-1314</v>
      </c>
      <c r="D14" s="32">
        <v>-3768</v>
      </c>
      <c r="E14" s="32">
        <v>-3758</v>
      </c>
      <c r="F14" s="32">
        <v>-1888</v>
      </c>
      <c r="G14" s="32">
        <v>-2542</v>
      </c>
      <c r="H14" s="32">
        <v>-3035</v>
      </c>
    </row>
    <row r="15" spans="1:8" x14ac:dyDescent="0.3">
      <c r="A15" s="22" t="s">
        <v>41</v>
      </c>
      <c r="B15" s="29"/>
      <c r="C15" s="29"/>
      <c r="D15" s="29"/>
      <c r="E15" s="29"/>
      <c r="F15" s="29"/>
      <c r="G15" s="29">
        <v>-11.12</v>
      </c>
      <c r="H15" s="29">
        <v>-60.03</v>
      </c>
    </row>
    <row r="16" spans="1:8" ht="15" thickBot="1" x14ac:dyDescent="0.35">
      <c r="A16" s="24" t="s">
        <v>42</v>
      </c>
      <c r="B16" s="28">
        <v>0</v>
      </c>
      <c r="C16" s="28">
        <v>0</v>
      </c>
      <c r="D16" s="28">
        <v>0</v>
      </c>
      <c r="E16" s="28">
        <v>0</v>
      </c>
      <c r="F16" s="28">
        <v>0</v>
      </c>
      <c r="G16" s="28">
        <v>0</v>
      </c>
      <c r="H16" s="30"/>
    </row>
    <row r="17" spans="1:2" ht="27.6" customHeight="1" x14ac:dyDescent="0.3">
      <c r="A17" s="39" t="s">
        <v>43</v>
      </c>
      <c r="B17" s="40"/>
    </row>
    <row r="18" spans="1:2" ht="27.6" x14ac:dyDescent="0.3">
      <c r="A18" s="34" t="s">
        <v>44</v>
      </c>
      <c r="B18" s="35" t="s">
        <v>45</v>
      </c>
    </row>
    <row r="19" spans="1:2" x14ac:dyDescent="0.3">
      <c r="A19" s="34" t="s">
        <v>46</v>
      </c>
      <c r="B19" s="36">
        <v>0.22</v>
      </c>
    </row>
    <row r="20" spans="1:2" x14ac:dyDescent="0.3">
      <c r="A20" s="34" t="s">
        <v>47</v>
      </c>
      <c r="B20" s="36">
        <v>0.35</v>
      </c>
    </row>
    <row r="21" spans="1:2" ht="15" thickBot="1" x14ac:dyDescent="0.35">
      <c r="A21" s="37" t="s">
        <v>48</v>
      </c>
      <c r="B21" s="38">
        <v>0.37</v>
      </c>
    </row>
    <row r="22" spans="1:2" ht="27.6" customHeight="1" x14ac:dyDescent="0.3">
      <c r="A22" s="39" t="s">
        <v>49</v>
      </c>
      <c r="B22" s="40"/>
    </row>
    <row r="23" spans="1:2" ht="27.6" x14ac:dyDescent="0.3">
      <c r="A23" s="34" t="s">
        <v>44</v>
      </c>
      <c r="B23" s="35" t="s">
        <v>45</v>
      </c>
    </row>
    <row r="24" spans="1:2" x14ac:dyDescent="0.3">
      <c r="A24" s="34" t="s">
        <v>46</v>
      </c>
      <c r="B24" s="36">
        <v>0.06</v>
      </c>
    </row>
    <row r="25" spans="1:2" x14ac:dyDescent="0.3">
      <c r="A25" s="34" t="s">
        <v>47</v>
      </c>
      <c r="B25" s="36">
        <v>0.02</v>
      </c>
    </row>
    <row r="26" spans="1:2" ht="15" thickBot="1" x14ac:dyDescent="0.35">
      <c r="A26" s="37" t="s">
        <v>48</v>
      </c>
      <c r="B26" s="38">
        <v>-0.66</v>
      </c>
    </row>
    <row r="27" spans="1:2" x14ac:dyDescent="0.3">
      <c r="A27" s="39" t="s">
        <v>50</v>
      </c>
      <c r="B27" s="40"/>
    </row>
    <row r="28" spans="1:2" ht="27.6" x14ac:dyDescent="0.3">
      <c r="A28" s="34" t="s">
        <v>44</v>
      </c>
      <c r="B28" s="35" t="s">
        <v>45</v>
      </c>
    </row>
    <row r="29" spans="1:2" x14ac:dyDescent="0.3">
      <c r="A29" s="34" t="s">
        <v>46</v>
      </c>
      <c r="B29" s="35" t="s">
        <v>45</v>
      </c>
    </row>
    <row r="30" spans="1:2" x14ac:dyDescent="0.3">
      <c r="A30" s="34" t="s">
        <v>47</v>
      </c>
      <c r="B30" s="35" t="s">
        <v>45</v>
      </c>
    </row>
    <row r="31" spans="1:2" ht="15" thickBot="1" x14ac:dyDescent="0.35">
      <c r="A31" s="37" t="s">
        <v>51</v>
      </c>
      <c r="B31" s="41" t="s">
        <v>45</v>
      </c>
    </row>
    <row r="32" spans="1:2" x14ac:dyDescent="0.3">
      <c r="A32" s="39" t="s">
        <v>52</v>
      </c>
      <c r="B32" s="40"/>
    </row>
    <row r="33" spans="1:2" ht="27.6" x14ac:dyDescent="0.3">
      <c r="A33" s="34" t="s">
        <v>44</v>
      </c>
      <c r="B33" s="35" t="s">
        <v>45</v>
      </c>
    </row>
    <row r="34" spans="1:2" x14ac:dyDescent="0.3">
      <c r="A34" s="34" t="s">
        <v>46</v>
      </c>
      <c r="B34" s="35" t="s">
        <v>45</v>
      </c>
    </row>
    <row r="35" spans="1:2" x14ac:dyDescent="0.3">
      <c r="A35" s="34" t="s">
        <v>47</v>
      </c>
      <c r="B35" s="35" t="s">
        <v>45</v>
      </c>
    </row>
    <row r="36" spans="1:2" ht="28.2" thickBot="1" x14ac:dyDescent="0.35">
      <c r="A36" s="37" t="s">
        <v>53</v>
      </c>
      <c r="B36" s="38">
        <v>-0.92</v>
      </c>
    </row>
  </sheetData>
  <mergeCells count="4">
    <mergeCell ref="A17:B17"/>
    <mergeCell ref="A22:B22"/>
    <mergeCell ref="A27:B27"/>
    <mergeCell ref="A32:B32"/>
  </mergeCells>
  <hyperlinks>
    <hyperlink ref="A2" r:id="rId1" location="profit-loss" display="https://www.screener.in/company/SWIGGY/consolidated/ - profit-loss" xr:uid="{5FB9AD5F-7DF9-48C3-BF0C-E24ABBB18CE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"/>
  <sheetViews>
    <sheetView tabSelected="1" workbookViewId="0">
      <selection activeCell="B10" sqref="B10"/>
    </sheetView>
  </sheetViews>
  <sheetFormatPr defaultColWidth="9.109375" defaultRowHeight="15.6" x14ac:dyDescent="0.3"/>
  <cols>
    <col min="1" max="1" width="27.6640625" style="1" customWidth="1"/>
    <col min="2" max="2" width="9.5546875" style="1" bestFit="1" customWidth="1"/>
    <col min="3" max="6" width="9.109375" style="1"/>
    <col min="7" max="7" width="20.5546875" style="1" bestFit="1" customWidth="1"/>
    <col min="8" max="16384" width="9.109375" style="1"/>
  </cols>
  <sheetData>
    <row r="1" spans="1:10" x14ac:dyDescent="0.3">
      <c r="A1" s="4" t="s">
        <v>24</v>
      </c>
    </row>
    <row r="2" spans="1:10" x14ac:dyDescent="0.3">
      <c r="E2" s="4"/>
      <c r="G2" s="10" t="s">
        <v>25</v>
      </c>
      <c r="H2" s="10"/>
      <c r="I2" s="10"/>
      <c r="J2" s="10"/>
    </row>
    <row r="3" spans="1:10" x14ac:dyDescent="0.3">
      <c r="A3" s="10" t="s">
        <v>1</v>
      </c>
      <c r="B3" s="10"/>
      <c r="C3" s="10"/>
      <c r="D3" s="10"/>
      <c r="E3" s="4"/>
    </row>
    <row r="4" spans="1:10" x14ac:dyDescent="0.3">
      <c r="G4" s="1" t="s">
        <v>26</v>
      </c>
    </row>
    <row r="5" spans="1:10" x14ac:dyDescent="0.3">
      <c r="A5" s="8" t="s">
        <v>2</v>
      </c>
      <c r="B5" s="8">
        <v>2022</v>
      </c>
      <c r="C5" s="8">
        <v>2021</v>
      </c>
      <c r="D5" s="8">
        <v>2020</v>
      </c>
      <c r="G5" s="8" t="s">
        <v>2</v>
      </c>
      <c r="H5" s="8">
        <v>2022</v>
      </c>
      <c r="I5" s="8">
        <v>2021</v>
      </c>
      <c r="J5" s="8">
        <v>2020</v>
      </c>
    </row>
    <row r="6" spans="1:10" x14ac:dyDescent="0.3">
      <c r="A6" s="4" t="s">
        <v>3</v>
      </c>
      <c r="B6" s="1">
        <v>1200</v>
      </c>
      <c r="C6" s="1">
        <v>1100</v>
      </c>
      <c r="D6" s="1">
        <v>979</v>
      </c>
      <c r="G6" s="4" t="s">
        <v>3</v>
      </c>
      <c r="H6" s="9">
        <f>B6/B6</f>
        <v>1</v>
      </c>
      <c r="I6" s="9">
        <f t="shared" ref="I6:J6" si="0">C6/C6</f>
        <v>1</v>
      </c>
      <c r="J6" s="9">
        <f t="shared" si="0"/>
        <v>1</v>
      </c>
    </row>
    <row r="7" spans="1:10" x14ac:dyDescent="0.3">
      <c r="A7" s="4" t="s">
        <v>5</v>
      </c>
      <c r="B7" s="1">
        <v>120</v>
      </c>
      <c r="C7" s="1">
        <v>110</v>
      </c>
      <c r="D7" s="1">
        <v>93</v>
      </c>
      <c r="G7" s="4" t="s">
        <v>5</v>
      </c>
      <c r="H7" s="9">
        <f>B7/B6</f>
        <v>0.1</v>
      </c>
      <c r="I7" s="9">
        <f t="shared" ref="I7:J7" si="1">C7/C6</f>
        <v>0.1</v>
      </c>
      <c r="J7" s="9">
        <f t="shared" si="1"/>
        <v>9.4994892747701731E-2</v>
      </c>
    </row>
    <row r="8" spans="1:10" x14ac:dyDescent="0.3">
      <c r="A8" s="8" t="s">
        <v>6</v>
      </c>
      <c r="B8" s="15">
        <v>5708</v>
      </c>
      <c r="C8" s="15">
        <v>1910</v>
      </c>
      <c r="D8" s="15">
        <v>2982</v>
      </c>
      <c r="G8" s="8" t="s">
        <v>6</v>
      </c>
      <c r="H8" s="3"/>
      <c r="I8" s="3"/>
      <c r="J8" s="3"/>
    </row>
    <row r="9" spans="1:10" x14ac:dyDescent="0.3">
      <c r="A9" s="4" t="s">
        <v>7</v>
      </c>
      <c r="B9" s="42">
        <v>6098.7</v>
      </c>
      <c r="C9" s="1">
        <v>2932.7</v>
      </c>
      <c r="D9" s="1">
        <v>2983.72</v>
      </c>
      <c r="G9" s="4" t="s">
        <v>7</v>
      </c>
    </row>
    <row r="10" spans="1:10" x14ac:dyDescent="0.3">
      <c r="A10" s="8" t="s">
        <v>8</v>
      </c>
      <c r="B10" s="3"/>
      <c r="C10" s="3"/>
      <c r="D10" s="3"/>
      <c r="G10" s="8" t="s">
        <v>8</v>
      </c>
      <c r="H10" s="3"/>
      <c r="I10" s="3"/>
      <c r="J10" s="3"/>
    </row>
    <row r="11" spans="1:10" x14ac:dyDescent="0.3">
      <c r="A11" s="4" t="s">
        <v>9</v>
      </c>
      <c r="G11" s="4" t="s">
        <v>9</v>
      </c>
    </row>
    <row r="12" spans="1:10" x14ac:dyDescent="0.3">
      <c r="A12" s="8" t="s">
        <v>10</v>
      </c>
      <c r="B12" s="3"/>
      <c r="C12" s="3"/>
      <c r="D12" s="3"/>
      <c r="G12" s="8" t="s">
        <v>10</v>
      </c>
      <c r="H12" s="3"/>
      <c r="I12" s="3"/>
      <c r="J12" s="3"/>
    </row>
    <row r="13" spans="1:10" x14ac:dyDescent="0.3">
      <c r="A13" s="4" t="s">
        <v>11</v>
      </c>
      <c r="G13" s="4" t="s">
        <v>11</v>
      </c>
    </row>
    <row r="14" spans="1:10" x14ac:dyDescent="0.3">
      <c r="A14" s="8" t="s">
        <v>12</v>
      </c>
      <c r="B14" s="3"/>
      <c r="C14" s="3"/>
      <c r="D14" s="3"/>
      <c r="G14" s="8" t="s">
        <v>12</v>
      </c>
      <c r="H14" s="3"/>
      <c r="I14" s="3"/>
      <c r="J14" s="3"/>
    </row>
    <row r="16" spans="1:10" x14ac:dyDescent="0.3">
      <c r="A16" s="4" t="s">
        <v>13</v>
      </c>
    </row>
    <row r="17" spans="1:1" x14ac:dyDescent="0.3">
      <c r="A17" s="1" t="s">
        <v>27</v>
      </c>
    </row>
    <row r="18" spans="1:1" x14ac:dyDescent="0.3">
      <c r="A18" s="1" t="s">
        <v>28</v>
      </c>
    </row>
    <row r="19" spans="1:1" x14ac:dyDescent="0.3">
      <c r="A19" s="1" t="s">
        <v>15</v>
      </c>
    </row>
    <row r="20" spans="1:1" x14ac:dyDescent="0.3">
      <c r="A20" s="1" t="s">
        <v>16</v>
      </c>
    </row>
  </sheetData>
  <mergeCells count="2">
    <mergeCell ref="G2:J2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Statement</vt:lpstr>
      <vt:lpstr>Sheet1</vt:lpstr>
      <vt:lpstr>IS -Vertical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Purnima Rao</dc:creator>
  <cp:lastModifiedBy>pc</cp:lastModifiedBy>
  <dcterms:created xsi:type="dcterms:W3CDTF">2023-08-22T16:39:16Z</dcterms:created>
  <dcterms:modified xsi:type="dcterms:W3CDTF">2025-08-12T17:53:46Z</dcterms:modified>
</cp:coreProperties>
</file>