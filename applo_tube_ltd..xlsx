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AD744AC-2B26-4974-A648-7FA4B6938468}" xr6:coauthVersionLast="47" xr6:coauthVersionMax="47" xr10:uidLastSave="{00000000-0000-0000-0000-000000000000}"/>
  <bookViews>
    <workbookView xWindow="-110" yWindow="-110" windowWidth="19420" windowHeight="10300" tabRatio="839" firstSheet="2" activeTab="4" xr2:uid="{BB0956EF-95C9-421F-B72C-12F09127E398}"/>
  </bookViews>
  <sheets>
    <sheet name="balance sheet" sheetId="2" r:id="rId1"/>
    <sheet name="profit and loss account" sheetId="1" r:id="rId2"/>
    <sheet name="cash flow statement" sheetId="3" r:id="rId3"/>
    <sheet name="key ratios" sheetId="4" r:id="rId4"/>
    <sheet name="key financial performance indi" sheetId="5" r:id="rId5"/>
    <sheet name="KEY FINANCIALS" sheetId="7" r:id="rId6"/>
    <sheet name="FORMULAS " sheetId="6" r:id="rId7"/>
    <sheet name="QUESTION" sheetId="8" r:id="rId8"/>
    <sheet name="fcff" sheetId="10" r:id="rId9"/>
    <sheet name="simulation analysis" sheetId="12" r:id="rId10"/>
    <sheet name="ABOUT THE COMPANY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7" l="1"/>
  <c r="B23" i="10"/>
  <c r="J4" i="12" l="1"/>
  <c r="J3" i="12"/>
  <c r="J6" i="12" s="1"/>
  <c r="J9" i="12" s="1"/>
  <c r="H1013" i="12" s="1"/>
  <c r="I4" i="12"/>
  <c r="I6" i="12" s="1"/>
  <c r="H9" i="12" s="1"/>
  <c r="G1013" i="12" s="1"/>
  <c r="I3" i="12"/>
  <c r="F6" i="12"/>
  <c r="B9" i="12" s="1"/>
  <c r="D1013" i="12" s="1"/>
  <c r="G6" i="12"/>
  <c r="B6" i="12"/>
  <c r="H4" i="12"/>
  <c r="G4" i="12"/>
  <c r="F4" i="12"/>
  <c r="E4" i="12"/>
  <c r="D4" i="12"/>
  <c r="C4" i="12"/>
  <c r="B4" i="12"/>
  <c r="H3" i="12"/>
  <c r="H6" i="12" s="1"/>
  <c r="F9" i="12" s="1"/>
  <c r="E1015" i="12" s="1"/>
  <c r="G3" i="12"/>
  <c r="F3" i="12"/>
  <c r="E3" i="12"/>
  <c r="E6" i="12" s="1"/>
  <c r="D3" i="12"/>
  <c r="D6" i="12" s="1"/>
  <c r="C3" i="12"/>
  <c r="C6" i="12" s="1"/>
  <c r="B3" i="12"/>
  <c r="C17" i="4"/>
  <c r="D17" i="4"/>
  <c r="E17" i="4"/>
  <c r="F17" i="4"/>
  <c r="G17" i="4"/>
  <c r="B17" i="4"/>
  <c r="F14" i="4"/>
  <c r="C13" i="4"/>
  <c r="C14" i="4" s="1"/>
  <c r="D13" i="4"/>
  <c r="D14" i="4" s="1"/>
  <c r="E13" i="4"/>
  <c r="E14" i="4" s="1"/>
  <c r="F13" i="4"/>
  <c r="G13" i="4"/>
  <c r="G14" i="4" s="1"/>
  <c r="B13" i="4"/>
  <c r="B14" i="4" s="1"/>
  <c r="C22" i="10"/>
  <c r="D22" i="10"/>
  <c r="E22" i="10"/>
  <c r="F22" i="10"/>
  <c r="G22" i="10"/>
  <c r="B22" i="10"/>
  <c r="C20" i="10"/>
  <c r="D20" i="10"/>
  <c r="E20" i="10"/>
  <c r="F20" i="10"/>
  <c r="G20" i="10"/>
  <c r="B20" i="10"/>
  <c r="D18" i="10"/>
  <c r="E18" i="10"/>
  <c r="F18" i="10"/>
  <c r="G18" i="10"/>
  <c r="C18" i="10"/>
  <c r="D15" i="10"/>
  <c r="E15" i="10"/>
  <c r="F15" i="10"/>
  <c r="G15" i="10"/>
  <c r="C15" i="10"/>
  <c r="C13" i="10"/>
  <c r="D13" i="10"/>
  <c r="E13" i="10"/>
  <c r="F13" i="10"/>
  <c r="G13" i="10"/>
  <c r="B13" i="10"/>
  <c r="C8" i="10"/>
  <c r="D8" i="10"/>
  <c r="E8" i="10"/>
  <c r="F8" i="10"/>
  <c r="G8" i="10"/>
  <c r="B8" i="10"/>
  <c r="C6" i="10"/>
  <c r="D6" i="10"/>
  <c r="E6" i="10"/>
  <c r="F6" i="10"/>
  <c r="G6" i="10"/>
  <c r="B6" i="10"/>
  <c r="C7" i="8"/>
  <c r="G15" i="5"/>
  <c r="F15" i="5"/>
  <c r="E15" i="5"/>
  <c r="D15" i="5"/>
  <c r="C15" i="5"/>
  <c r="B15" i="5"/>
  <c r="G14" i="5"/>
  <c r="F14" i="5"/>
  <c r="E14" i="5"/>
  <c r="D14" i="5"/>
  <c r="C14" i="5"/>
  <c r="B14" i="5"/>
  <c r="C12" i="5"/>
  <c r="D12" i="5"/>
  <c r="E12" i="5"/>
  <c r="F12" i="5"/>
  <c r="G12" i="5"/>
  <c r="B12" i="5"/>
  <c r="C11" i="5"/>
  <c r="D11" i="5"/>
  <c r="E11" i="5"/>
  <c r="F11" i="5"/>
  <c r="G11" i="5"/>
  <c r="B11" i="5"/>
  <c r="C10" i="5"/>
  <c r="D10" i="5"/>
  <c r="E10" i="5"/>
  <c r="F10" i="5"/>
  <c r="G10" i="5"/>
  <c r="B10" i="5"/>
  <c r="C9" i="5"/>
  <c r="D9" i="5"/>
  <c r="E9" i="5"/>
  <c r="F9" i="5"/>
  <c r="G9" i="5"/>
  <c r="B9" i="5"/>
  <c r="C8" i="5"/>
  <c r="D8" i="5"/>
  <c r="E8" i="5"/>
  <c r="F8" i="5"/>
  <c r="G8" i="5"/>
  <c r="B8" i="5"/>
  <c r="C7" i="5"/>
  <c r="D7" i="5"/>
  <c r="E7" i="5"/>
  <c r="F7" i="5"/>
  <c r="G7" i="5"/>
  <c r="B7" i="5"/>
  <c r="C6" i="5"/>
  <c r="D6" i="5"/>
  <c r="E6" i="5"/>
  <c r="F6" i="5"/>
  <c r="G6" i="5"/>
  <c r="B6" i="5"/>
  <c r="C5" i="5"/>
  <c r="D5" i="5"/>
  <c r="E5" i="5"/>
  <c r="F5" i="5"/>
  <c r="G5" i="5"/>
  <c r="B5" i="5"/>
  <c r="C4" i="5"/>
  <c r="C13" i="5" s="1"/>
  <c r="D4" i="5"/>
  <c r="D13" i="5" s="1"/>
  <c r="E4" i="5"/>
  <c r="E13" i="5" s="1"/>
  <c r="F4" i="5"/>
  <c r="F13" i="5" s="1"/>
  <c r="G4" i="5"/>
  <c r="G13" i="5" s="1"/>
  <c r="B4" i="5"/>
  <c r="B13" i="5" s="1"/>
  <c r="C3" i="5"/>
  <c r="D3" i="5"/>
  <c r="E3" i="5"/>
  <c r="F3" i="5"/>
  <c r="G3" i="5"/>
  <c r="B3" i="5"/>
  <c r="E2" i="5"/>
  <c r="F2" i="5"/>
  <c r="G2" i="5"/>
  <c r="D2" i="5"/>
  <c r="C2" i="5"/>
  <c r="B2" i="5"/>
  <c r="G10" i="7"/>
  <c r="F10" i="7"/>
  <c r="E10" i="7"/>
  <c r="D10" i="7"/>
  <c r="C10" i="7"/>
  <c r="B10" i="7"/>
  <c r="G4" i="7"/>
  <c r="F4" i="7"/>
  <c r="E4" i="7"/>
  <c r="D4" i="7"/>
  <c r="C4" i="7"/>
  <c r="B4" i="7"/>
  <c r="G3" i="7"/>
  <c r="G6" i="7" s="1"/>
  <c r="G12" i="7" s="1"/>
  <c r="F3" i="7"/>
  <c r="F6" i="7" s="1"/>
  <c r="F12" i="7" s="1"/>
  <c r="E3" i="7"/>
  <c r="E6" i="7" s="1"/>
  <c r="E12" i="7" s="1"/>
  <c r="D3" i="7"/>
  <c r="D6" i="7" s="1"/>
  <c r="D12" i="7" s="1"/>
  <c r="C3" i="7"/>
  <c r="C6" i="7" s="1"/>
  <c r="C12" i="7" s="1"/>
  <c r="B3" i="7"/>
  <c r="B6" i="7" s="1"/>
  <c r="B12" i="7" s="1"/>
  <c r="G2" i="7"/>
  <c r="F2" i="7"/>
  <c r="E2" i="7"/>
  <c r="D2" i="7"/>
  <c r="C2" i="7"/>
  <c r="G18" i="4"/>
  <c r="F18" i="4"/>
  <c r="E18" i="4"/>
  <c r="D18" i="4"/>
  <c r="C18" i="4"/>
  <c r="B18" i="4"/>
  <c r="G16" i="4"/>
  <c r="E16" i="4"/>
  <c r="F16" i="4"/>
  <c r="D16" i="4"/>
  <c r="C16" i="4"/>
  <c r="B16" i="4"/>
  <c r="G15" i="4"/>
  <c r="F15" i="4"/>
  <c r="E15" i="4"/>
  <c r="D15" i="4"/>
  <c r="C15" i="4"/>
  <c r="B15" i="4"/>
  <c r="C11" i="4"/>
  <c r="D11" i="4"/>
  <c r="E11" i="4"/>
  <c r="F11" i="4"/>
  <c r="G11" i="4"/>
  <c r="B11" i="4"/>
  <c r="C8" i="4"/>
  <c r="D8" i="4"/>
  <c r="E8" i="4"/>
  <c r="F8" i="4"/>
  <c r="G8" i="4"/>
  <c r="B8" i="4"/>
  <c r="C7" i="4"/>
  <c r="D7" i="4"/>
  <c r="E7" i="4"/>
  <c r="F7" i="4"/>
  <c r="G7" i="4"/>
  <c r="B7" i="4"/>
  <c r="C6" i="4"/>
  <c r="D6" i="4"/>
  <c r="E6" i="4"/>
  <c r="F6" i="4"/>
  <c r="G6" i="4"/>
  <c r="B6" i="4"/>
  <c r="C5" i="4"/>
  <c r="D5" i="4"/>
  <c r="E5" i="4"/>
  <c r="F5" i="4"/>
  <c r="G5" i="4"/>
  <c r="B5" i="4"/>
  <c r="C4" i="4"/>
  <c r="D4" i="4"/>
  <c r="E4" i="4"/>
  <c r="F4" i="4"/>
  <c r="G4" i="4"/>
  <c r="B4" i="4"/>
  <c r="H1017" i="12" l="1"/>
  <c r="H1016" i="12"/>
  <c r="H1015" i="12"/>
  <c r="H1014" i="12"/>
  <c r="G1017" i="12"/>
  <c r="G1016" i="12"/>
  <c r="G1015" i="12"/>
  <c r="G1014" i="12"/>
  <c r="F1017" i="12"/>
  <c r="F1016" i="12"/>
  <c r="F1015" i="12"/>
  <c r="F1014" i="12"/>
  <c r="F1013" i="12"/>
  <c r="D1017" i="12"/>
  <c r="D1016" i="12"/>
  <c r="D1015" i="12"/>
  <c r="D1014" i="12"/>
  <c r="D9" i="12"/>
  <c r="E1016" i="12" l="1"/>
  <c r="E1017" i="12"/>
  <c r="E1013" i="12"/>
  <c r="E1014" i="12"/>
</calcChain>
</file>

<file path=xl/sharedStrings.xml><?xml version="1.0" encoding="utf-8"?>
<sst xmlns="http://schemas.openxmlformats.org/spreadsheetml/2006/main" count="330" uniqueCount="311">
  <si>
    <t>TTM</t>
  </si>
  <si>
    <t>Sales Growth %</t>
  </si>
  <si>
    <t>Raw material cost</t>
  </si>
  <si>
    <t>Change in inventory</t>
  </si>
  <si>
    <t>Manufacturing Cost %</t>
  </si>
  <si>
    <t>Employee Cost %</t>
  </si>
  <si>
    <t>Other Cost %</t>
  </si>
  <si>
    <t>Operating Profit</t>
  </si>
  <si>
    <t>OPM %</t>
  </si>
  <si>
    <t>Exceptional items</t>
  </si>
  <si>
    <t>Other income normal</t>
  </si>
  <si>
    <t>Interest</t>
  </si>
  <si>
    <t>Depreciation</t>
  </si>
  <si>
    <t>Profit before tax</t>
  </si>
  <si>
    <t>Tax %</t>
  </si>
  <si>
    <t>Minority share</t>
  </si>
  <si>
    <t>Exceptional items AT</t>
  </si>
  <si>
    <t>Profit excl Excep</t>
  </si>
  <si>
    <t>Profit for PE</t>
  </si>
  <si>
    <t>Profit for EPS</t>
  </si>
  <si>
    <t>EPS in Rs</t>
  </si>
  <si>
    <t>Dividend Payout %</t>
  </si>
  <si>
    <t>Equity Capital</t>
  </si>
  <si>
    <t>Reserves</t>
  </si>
  <si>
    <t>Long term Borrowings</t>
  </si>
  <si>
    <t>Short term Borrowings</t>
  </si>
  <si>
    <t>Lease Liabilities</t>
  </si>
  <si>
    <t>Other Borrowings</t>
  </si>
  <si>
    <t>Non controlling int</t>
  </si>
  <si>
    <t>Trade Payables</t>
  </si>
  <si>
    <t>Advance from Customers</t>
  </si>
  <si>
    <t>Other liability items</t>
  </si>
  <si>
    <t>Total Liabilities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</si>
  <si>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</si>
  <si>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</si>
  <si>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</si>
  <si>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</si>
  <si>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</si>
  <si>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</si>
  <si>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</si>
  <si>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</si>
  <si>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</si>
  <si>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</si>
  <si>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</si>
  <si>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</si>
  <si>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</si>
  <si>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t>Inventories</t>
  </si>
  <si>
    <t>Receivables over 6m</t>
  </si>
  <si>
    <t>Receivables under 6m</t>
  </si>
  <si>
    <t>Prov for Doubtful</t>
  </si>
  <si>
    <t>Cash Equivalents</t>
  </si>
  <si>
    <t>Loans n Advances</t>
  </si>
  <si>
    <t>Other asset items</t>
  </si>
  <si>
    <t>Total Assets</t>
  </si>
  <si>
    <t>Profit from operations</t>
  </si>
  <si>
    <t>Receivables</t>
  </si>
  <si>
    <t>Inventory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</si>
  <si>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</si>
  <si>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</si>
  <si>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</si>
  <si>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</si>
  <si>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</si>
  <si>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</si>
  <si>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</si>
  <si>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</si>
  <si>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</si>
  <si>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</si>
  <si>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Invest in subsidiaries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</si>
  <si>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</si>
  <si>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</si>
  <si>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</si>
  <si>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</si>
  <si>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</si>
  <si>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</si>
  <si>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</si>
  <si>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</si>
  <si>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</si>
  <si>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</si>
  <si>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r>
      <t>Sales </t>
    </r>
    <r>
      <rPr>
        <sz val="11"/>
        <color rgb="FF665EFD"/>
        <rFont val="Arial"/>
        <family val="2"/>
      </rPr>
      <t>-</t>
    </r>
  </si>
  <si>
    <r>
      <t>Expenses </t>
    </r>
    <r>
      <rPr>
        <sz val="11"/>
        <color rgb="FF665EFD"/>
        <rFont val="Arial"/>
        <family val="2"/>
      </rPr>
      <t>-</t>
    </r>
  </si>
  <si>
    <r>
      <t>Material Cost % </t>
    </r>
    <r>
      <rPr>
        <sz val="11"/>
        <color rgb="FF665EFD"/>
        <rFont val="Arial"/>
        <family val="2"/>
      </rPr>
      <t>-</t>
    </r>
  </si>
  <si>
    <r>
      <t>Other Income </t>
    </r>
    <r>
      <rPr>
        <sz val="11"/>
        <color rgb="FF665EFD"/>
        <rFont val="Arial"/>
        <family val="2"/>
      </rPr>
      <t>-</t>
    </r>
  </si>
  <si>
    <r>
      <t>Net Profit </t>
    </r>
    <r>
      <rPr>
        <sz val="11"/>
        <color rgb="FF665EFD"/>
        <rFont val="Arial"/>
        <family val="2"/>
      </rPr>
      <t>-</t>
    </r>
  </si>
  <si>
    <r>
      <t>Borrowings </t>
    </r>
    <r>
      <rPr>
        <sz val="11"/>
        <color rgb="FF665EFD"/>
        <rFont val="Arial"/>
        <family val="2"/>
      </rPr>
      <t>-</t>
    </r>
  </si>
  <si>
    <r>
      <t>Other Liabilities </t>
    </r>
    <r>
      <rPr>
        <sz val="11"/>
        <color rgb="FF665EFD"/>
        <rFont val="Arial"/>
        <family val="2"/>
      </rPr>
      <t>-</t>
    </r>
  </si>
  <si>
    <r>
      <t>Fixed Assets </t>
    </r>
    <r>
      <rPr>
        <sz val="11"/>
        <color rgb="FF665EFD"/>
        <rFont val="Arial"/>
        <family val="2"/>
      </rPr>
      <t>-</t>
    </r>
  </si>
  <si>
    <r>
      <t>Other Assets </t>
    </r>
    <r>
      <rPr>
        <sz val="11"/>
        <color rgb="FF665EFD"/>
        <rFont val="Arial"/>
        <family val="2"/>
      </rPr>
      <t>-</t>
    </r>
  </si>
  <si>
    <r>
      <t>Trade receivables </t>
    </r>
    <r>
      <rPr>
        <sz val="11"/>
        <color rgb="FF665EFD"/>
        <rFont val="Arial"/>
        <family val="2"/>
      </rPr>
      <t>-</t>
    </r>
  </si>
  <si>
    <r>
      <t>Cash from Operating Activity </t>
    </r>
    <r>
      <rPr>
        <sz val="11"/>
        <color rgb="FF665EFD"/>
        <rFont val="Arial"/>
        <family val="2"/>
      </rPr>
      <t>-</t>
    </r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</si>
  <si>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</si>
  <si>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</si>
  <si>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t>Ratio</t>
  </si>
  <si>
    <t>net income</t>
  </si>
  <si>
    <t>net sales</t>
  </si>
  <si>
    <t>return on sales</t>
  </si>
  <si>
    <t>asset turnover ratio</t>
  </si>
  <si>
    <t>return on assets</t>
  </si>
  <si>
    <t>financial leverage</t>
  </si>
  <si>
    <t>return on equity</t>
  </si>
  <si>
    <t>current assets</t>
  </si>
  <si>
    <t>current liabilities</t>
  </si>
  <si>
    <t>current ratio</t>
  </si>
  <si>
    <t>cogs</t>
  </si>
  <si>
    <t>inventories</t>
  </si>
  <si>
    <t>inventory turnover ratio</t>
  </si>
  <si>
    <t>receivables connections</t>
  </si>
  <si>
    <t>revenue growth</t>
  </si>
  <si>
    <t xml:space="preserve">gross margin </t>
  </si>
  <si>
    <t>divident payout</t>
  </si>
  <si>
    <t xml:space="preserve">R &amp;D ratio </t>
  </si>
  <si>
    <t>contribution</t>
  </si>
  <si>
    <t>variable cost</t>
  </si>
  <si>
    <t>contribution= sales-vc</t>
  </si>
  <si>
    <t>ebit</t>
  </si>
  <si>
    <t>ebt</t>
  </si>
  <si>
    <t>z</t>
  </si>
  <si>
    <t>working capital</t>
  </si>
  <si>
    <t xml:space="preserve">shares otstanding means all the shares available in the market for trading </t>
  </si>
  <si>
    <t xml:space="preserve">weighted means perferance and equity shares </t>
  </si>
  <si>
    <t xml:space="preserve">/weighted average of dilted common shares outstanding </t>
  </si>
  <si>
    <t xml:space="preserve">perferance share value in perferace dividents </t>
  </si>
  <si>
    <t>price/book value (price/bv)</t>
  </si>
  <si>
    <t xml:space="preserve">ratio&gt;1 states that market values the company higher than its book value, often due to growth </t>
  </si>
  <si>
    <t>prospects</t>
  </si>
  <si>
    <t>ratio&lt;1 may indicate undervaluation or potential issues</t>
  </si>
  <si>
    <t xml:space="preserve">operating leverage </t>
  </si>
  <si>
    <t xml:space="preserve"> total leverage</t>
  </si>
  <si>
    <t>net capital</t>
  </si>
  <si>
    <t xml:space="preserve">ebt margin </t>
  </si>
  <si>
    <t>free cash flow</t>
  </si>
  <si>
    <t>liquid capital</t>
  </si>
  <si>
    <t>NOPAT</t>
  </si>
  <si>
    <t xml:space="preserve">Net int. exp after tax </t>
  </si>
  <si>
    <t>int. bearing liabilities</t>
  </si>
  <si>
    <t>net long term assets</t>
  </si>
  <si>
    <t>net debt</t>
  </si>
  <si>
    <t>net assets</t>
  </si>
  <si>
    <t>working capital turnover ratio</t>
  </si>
  <si>
    <t>basic eps</t>
  </si>
  <si>
    <t>bvps</t>
  </si>
  <si>
    <t>diluted eps</t>
  </si>
  <si>
    <t>p/b ratio</t>
  </si>
  <si>
    <t>ebit=op-dep</t>
  </si>
  <si>
    <t>degree of leverage(dol)= contribution/ebit</t>
  </si>
  <si>
    <t xml:space="preserve">variable cost= manufacturing  cst+material costs+others </t>
  </si>
  <si>
    <t>ebit=sales-vc-fc</t>
  </si>
  <si>
    <t xml:space="preserve">if fc is high then high risk company then operating leverage also is high </t>
  </si>
  <si>
    <t xml:space="preserve"> shares outstanding value from thr annual report</t>
  </si>
  <si>
    <t>debt financial leverage(dfl)= ebit/ebt</t>
  </si>
  <si>
    <t>ebt= ebit -int</t>
  </si>
  <si>
    <t>total leverage= dfl*dol OR contribution/ebt</t>
  </si>
  <si>
    <t>"here capital expeniture means total assets purchased"</t>
  </si>
  <si>
    <t>need to check short or long term lease and other liability items that it comes in current liabilties section or not  with the help of annual report</t>
  </si>
  <si>
    <t xml:space="preserve">net long term assets=Gross fixed assets (GFA)  OR GROSS BLOCK -accumuted dep. </t>
  </si>
  <si>
    <t>here cash includes cash equialents</t>
  </si>
  <si>
    <t>ROE= Net profit (PAT,EAT,NET INCOME)/ shareholder's equity</t>
  </si>
  <si>
    <t>interest=50000*10/100</t>
  </si>
  <si>
    <t xml:space="preserve">tax </t>
  </si>
  <si>
    <t>EBIT</t>
  </si>
  <si>
    <t>EBT</t>
  </si>
  <si>
    <t>20000-0=20000</t>
  </si>
  <si>
    <t>20000-5000=15000</t>
  </si>
  <si>
    <t>Net profit</t>
  </si>
  <si>
    <t xml:space="preserve">EBT tax(30%) </t>
  </si>
  <si>
    <t>A=6000</t>
  </si>
  <si>
    <t>B=4000</t>
  </si>
  <si>
    <t>B=15000</t>
  </si>
  <si>
    <t>EBT A=20000</t>
  </si>
  <si>
    <t>then, EBT=(1-0.3)</t>
  </si>
  <si>
    <t>A=14000</t>
  </si>
  <si>
    <t>B=10,500</t>
  </si>
  <si>
    <t xml:space="preserve">FOR A= </t>
  </si>
  <si>
    <t>ROE=NP/E</t>
  </si>
  <si>
    <t>14000/100000=14%</t>
  </si>
  <si>
    <t>FOR B=</t>
  </si>
  <si>
    <t>10500/50000</t>
  </si>
  <si>
    <t>unlevered firm= no debt= capital structure= 100% equity</t>
  </si>
  <si>
    <t xml:space="preserve">levered firm= has debt along with equity in capital structure. </t>
  </si>
  <si>
    <t>interest=</t>
  </si>
  <si>
    <t xml:space="preserve">Kd= Cost of Debt </t>
  </si>
  <si>
    <t>APL Apollo Tubes Limited – Company Overview</t>
  </si>
  <si>
    <t>Incorporation &amp; Identity</t>
  </si>
  <si>
    <r>
      <t>Founded:</t>
    </r>
    <r>
      <rPr>
        <sz val="11"/>
        <color theme="1"/>
        <rFont val="Calibri"/>
        <family val="2"/>
        <scheme val="minor"/>
      </rPr>
      <t xml:space="preserve"> February 24, 1986</t>
    </r>
  </si>
  <si>
    <r>
      <t>CIN:</t>
    </r>
    <r>
      <rPr>
        <sz val="11"/>
        <color theme="1"/>
        <rFont val="Calibri"/>
        <family val="2"/>
        <scheme val="minor"/>
      </rPr>
      <t xml:space="preserve"> L74899DL1986PLC023443</t>
    </r>
  </si>
  <si>
    <r>
      <t>Registered Office:</t>
    </r>
    <r>
      <rPr>
        <sz val="11"/>
        <color theme="1"/>
        <rFont val="Calibri"/>
        <family val="2"/>
        <scheme val="minor"/>
      </rPr>
      <t xml:space="preserve"> 37 Hargobind Enclave, Vikas Marg, Delhi 110092</t>
    </r>
  </si>
  <si>
    <r>
      <t>Corporate Office:</t>
    </r>
    <r>
      <rPr>
        <sz val="11"/>
        <color theme="1"/>
        <rFont val="Calibri"/>
        <family val="2"/>
        <scheme val="minor"/>
      </rPr>
      <t xml:space="preserve"> SG Centre, 37C Block B, Sector 132, Noida (U.P.)</t>
    </r>
  </si>
  <si>
    <r>
      <t>Stock Listing:</t>
    </r>
    <r>
      <rPr>
        <sz val="11"/>
        <color theme="1"/>
        <rFont val="Calibri"/>
        <family val="2"/>
        <scheme val="minor"/>
      </rPr>
      <t xml:space="preserve"> NSE – APLAPOLLO | BSE – 533758</t>
    </r>
  </si>
  <si>
    <t>Business Profile</t>
  </si>
  <si>
    <r>
      <t xml:space="preserve">APL Apollo Tubes Ltd is </t>
    </r>
    <r>
      <rPr>
        <b/>
        <sz val="11"/>
        <color theme="1"/>
        <rFont val="Calibri"/>
        <family val="2"/>
        <scheme val="minor"/>
      </rPr>
      <t>India’s largest producer of structural steel tubes</t>
    </r>
    <r>
      <rPr>
        <sz val="11"/>
        <color theme="1"/>
        <rFont val="Calibri"/>
        <family val="2"/>
        <scheme val="minor"/>
      </rPr>
      <t xml:space="preserve"> and one of the world’s largest downstream steel companies outside China.</t>
    </r>
  </si>
  <si>
    <r>
      <t xml:space="preserve">It manufactures </t>
    </r>
    <r>
      <rPr>
        <b/>
        <sz val="11"/>
        <color theme="1"/>
        <rFont val="Calibri"/>
        <family val="2"/>
        <scheme val="minor"/>
      </rPr>
      <t>ERW steel tubes, GP and GI tubes, and pre-painted Alu-Zinc sheets</t>
    </r>
    <r>
      <rPr>
        <sz val="11"/>
        <color theme="1"/>
        <rFont val="Calibri"/>
        <family val="2"/>
        <scheme val="minor"/>
      </rPr>
      <t>, used widely in infrastructure, housing, solar, and industrial applications.</t>
    </r>
  </si>
  <si>
    <t>Key Operations</t>
  </si>
  <si>
    <r>
      <t>Main Activity:</t>
    </r>
    <r>
      <rPr>
        <sz val="11"/>
        <color theme="1"/>
        <rFont val="Calibri"/>
        <family val="2"/>
        <scheme val="minor"/>
      </rPr>
      <t xml:space="preserve"> Manufacturing &amp; selling of structural steel tubes and sheets (100% of turnover)</t>
    </r>
  </si>
  <si>
    <r>
      <t>Manufacturing Facilities:</t>
    </r>
    <r>
      <rPr>
        <sz val="11"/>
        <color theme="1"/>
        <rFont val="Calibri"/>
        <family val="2"/>
        <scheme val="minor"/>
      </rPr>
      <t xml:space="preserve"> 10 plants in India + 1 in UAE</t>
    </r>
  </si>
  <si>
    <r>
      <t>Offices:</t>
    </r>
    <r>
      <rPr>
        <sz val="11"/>
        <color theme="1"/>
        <rFont val="Calibri"/>
        <family val="2"/>
        <scheme val="minor"/>
      </rPr>
      <t xml:space="preserve"> 29 across India</t>
    </r>
  </si>
  <si>
    <r>
      <t>Markets:</t>
    </r>
    <r>
      <rPr>
        <sz val="11"/>
        <color theme="1"/>
        <rFont val="Calibri"/>
        <family val="2"/>
        <scheme val="minor"/>
      </rPr>
      <t xml:space="preserve"> Pan-India and exports to 30 countries (≈ 3% of turnover)</t>
    </r>
  </si>
  <si>
    <r>
      <t>Dealer Network:</t>
    </r>
    <r>
      <rPr>
        <sz val="11"/>
        <color theme="1"/>
        <rFont val="Calibri"/>
        <family val="2"/>
        <scheme val="minor"/>
      </rPr>
      <t xml:space="preserve"> 800 distributors and ≈ 50,000 retailers</t>
    </r>
  </si>
  <si>
    <r>
      <t>Employees:</t>
    </r>
    <r>
      <rPr>
        <sz val="11"/>
        <color theme="1"/>
        <rFont val="Calibri"/>
        <family val="2"/>
        <scheme val="minor"/>
      </rPr>
      <t xml:space="preserve"> 3,382 (as of Mar 31 2025)</t>
    </r>
  </si>
  <si>
    <t>Scale &amp; Market Position</t>
  </si>
  <si>
    <t>Metric</t>
  </si>
  <si>
    <t>FY 2025</t>
  </si>
  <si>
    <t>Manufacturing Capacity</t>
  </si>
  <si>
    <t>4.5 million tons</t>
  </si>
  <si>
    <t>Market Share (India)</t>
  </si>
  <si>
    <t>Sales Volume</t>
  </si>
  <si>
    <t>3.1 million tons</t>
  </si>
  <si>
    <t>Revenue</t>
  </si>
  <si>
    <t>₹ 206,895 million</t>
  </si>
  <si>
    <t>Net Cash Position</t>
  </si>
  <si>
    <t>&gt; ₹ 3 billion</t>
  </si>
  <si>
    <t>EBITDA per ton (FY25 blended)**</t>
  </si>
  <si>
    <t>₹ ≈ 4,000–5,000</t>
  </si>
  <si>
    <t>Vision, Mission &amp; Values</t>
  </si>
  <si>
    <r>
      <t>Vision: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To be a global leader and high-performing organization recognized for excellence, governance, customer delight, and long-term relationships.</t>
    </r>
  </si>
  <si>
    <r>
      <t>Mission: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To lead the transformation from commodity to value-added products through innovation and technology.</t>
    </r>
  </si>
  <si>
    <r>
      <t>Core Values:</t>
    </r>
    <r>
      <rPr>
        <sz val="11"/>
        <color theme="1"/>
        <rFont val="Calibri"/>
        <family val="2"/>
        <scheme val="minor"/>
      </rPr>
      <t xml:space="preserve"> Example | Commitment | Trust | Innovation | Integrity</t>
    </r>
  </si>
  <si>
    <t>Governance &amp; Leadership</t>
  </si>
  <si>
    <r>
      <t>Chairman &amp; Managing Director: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Mr. Sanjay Gupta</t>
    </r>
  </si>
  <si>
    <r>
      <t>Group CFO &amp; Director Operations: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Mr. Deepak Goyal</t>
    </r>
  </si>
  <si>
    <r>
      <t>Company Secretary: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Mr. Vipul Jain</t>
    </r>
  </si>
  <si>
    <r>
      <t>Statutory Auditors:</t>
    </r>
    <r>
      <rPr>
        <sz val="11"/>
        <color theme="1"/>
        <rFont val="Calibri"/>
        <family val="2"/>
        <scheme val="minor"/>
      </rPr>
      <t xml:space="preserve"> Deloitte Haskins &amp; Sells LLP</t>
    </r>
  </si>
  <si>
    <t>Financial Highlights (Standalone FY 2025)</t>
  </si>
  <si>
    <r>
      <t>Total Equity:</t>
    </r>
    <r>
      <rPr>
        <sz val="11"/>
        <color theme="1"/>
        <rFont val="Calibri"/>
        <family val="2"/>
        <scheme val="minor"/>
      </rPr>
      <t xml:space="preserve"> ₹ 3,086.8 crore</t>
    </r>
  </si>
  <si>
    <r>
      <t>Net Debt:</t>
    </r>
    <r>
      <rPr>
        <sz val="11"/>
        <color theme="1"/>
        <rFont val="Calibri"/>
        <family val="2"/>
        <scheme val="minor"/>
      </rPr>
      <t xml:space="preserve"> ₹ 34.4 crore (gearing ratio 0.01)</t>
    </r>
  </si>
  <si>
    <r>
      <t>Dividend:</t>
    </r>
    <r>
      <rPr>
        <sz val="11"/>
        <color theme="1"/>
        <rFont val="Calibri"/>
        <family val="2"/>
        <scheme val="minor"/>
      </rPr>
      <t xml:space="preserve"> ₹ 5.75 per share</t>
    </r>
  </si>
  <si>
    <r>
      <t>Subsidiaries:</t>
    </r>
    <r>
      <rPr>
        <sz val="11"/>
        <color theme="1"/>
        <rFont val="Calibri"/>
        <family val="2"/>
        <scheme val="minor"/>
      </rPr>
      <t xml:space="preserve"> Apollo Metalex Ltd, APL Apollo Building Products Ltd, Blue Ocean Projects Pvt Ltd, APL Apollo Mart Ltd, APL Apollo Tubes LLC (UAE)</t>
    </r>
  </si>
  <si>
    <r>
      <rPr>
        <b/>
        <sz val="11"/>
        <color theme="1"/>
        <rFont val="Calibri"/>
        <family val="2"/>
        <scheme val="minor"/>
      </rPr>
      <t xml:space="preserve">working capital= </t>
    </r>
    <r>
      <rPr>
        <sz val="11"/>
        <color theme="1"/>
        <rFont val="Calibri"/>
        <family val="2"/>
        <scheme val="minor"/>
      </rPr>
      <t>ca-cl</t>
    </r>
  </si>
  <si>
    <r>
      <rPr>
        <b/>
        <sz val="11"/>
        <color theme="1"/>
        <rFont val="Calibri"/>
        <family val="2"/>
        <scheme val="minor"/>
      </rPr>
      <t>working capital turnover ratio</t>
    </r>
    <r>
      <rPr>
        <sz val="11"/>
        <color theme="1"/>
        <rFont val="Calibri"/>
        <family val="2"/>
        <scheme val="minor"/>
      </rPr>
      <t>= sales/ working capital</t>
    </r>
  </si>
  <si>
    <r>
      <rPr>
        <b/>
        <sz val="11"/>
        <color theme="1"/>
        <rFont val="Calibri"/>
        <family val="2"/>
        <scheme val="minor"/>
      </rPr>
      <t>basic eps</t>
    </r>
    <r>
      <rPr>
        <sz val="11"/>
        <color theme="1"/>
        <rFont val="Calibri"/>
        <family val="2"/>
        <scheme val="minor"/>
      </rPr>
      <t xml:space="preserve">=net income-dividend payments/weighted average shares outstanding </t>
    </r>
  </si>
  <si>
    <r>
      <rPr>
        <b/>
        <sz val="11"/>
        <color theme="1"/>
        <rFont val="Calibri"/>
        <family val="2"/>
        <scheme val="minor"/>
      </rPr>
      <t>cash eps=</t>
    </r>
    <r>
      <rPr>
        <sz val="11"/>
        <color theme="1"/>
        <rFont val="Calibri"/>
        <family val="2"/>
        <scheme val="minor"/>
      </rPr>
      <t xml:space="preserve"> operating cash flow/shares outstanding </t>
    </r>
  </si>
  <si>
    <r>
      <rPr>
        <b/>
        <sz val="11"/>
        <color theme="1"/>
        <rFont val="Calibri"/>
        <family val="2"/>
        <scheme val="minor"/>
      </rPr>
      <t>book value/per share=</t>
    </r>
    <r>
      <rPr>
        <sz val="11"/>
        <color theme="1"/>
        <rFont val="Calibri"/>
        <family val="2"/>
        <scheme val="minor"/>
      </rPr>
      <t xml:space="preserve"> shareholder's equity-perfeered equity/no. of outstanding shares</t>
    </r>
  </si>
  <si>
    <r>
      <rPr>
        <b/>
        <sz val="11"/>
        <color theme="1"/>
        <rFont val="Calibri"/>
        <family val="2"/>
        <scheme val="minor"/>
      </rPr>
      <t>p/b ratio=</t>
    </r>
    <r>
      <rPr>
        <sz val="11"/>
        <color theme="1"/>
        <rFont val="Calibri"/>
        <family val="2"/>
        <scheme val="minor"/>
      </rPr>
      <t xml:space="preserve"> market value per share/bok value per share</t>
    </r>
  </si>
  <si>
    <r>
      <rPr>
        <b/>
        <sz val="11"/>
        <color theme="1"/>
        <rFont val="Calibri"/>
        <family val="2"/>
        <scheme val="minor"/>
      </rPr>
      <t xml:space="preserve">diluted eps= </t>
    </r>
    <r>
      <rPr>
        <sz val="11"/>
        <color theme="1"/>
        <rFont val="Calibri"/>
        <family val="2"/>
        <scheme val="minor"/>
      </rPr>
      <t>net income-perferred dividents/</t>
    </r>
  </si>
  <si>
    <r>
      <rPr>
        <b/>
        <sz val="11"/>
        <color theme="1"/>
        <rFont val="Calibri"/>
        <family val="2"/>
        <scheme val="minor"/>
      </rPr>
      <t>free cash flow</t>
    </r>
    <r>
      <rPr>
        <sz val="11"/>
        <color theme="1"/>
        <rFont val="Calibri"/>
        <family val="2"/>
        <scheme val="minor"/>
      </rPr>
      <t>= cah flow  from operating activities- capital expenditure</t>
    </r>
  </si>
  <si>
    <r>
      <rPr>
        <b/>
        <sz val="11"/>
        <color theme="1"/>
        <rFont val="Calibri"/>
        <family val="2"/>
        <scheme val="minor"/>
      </rPr>
      <t>ebita margin</t>
    </r>
    <r>
      <rPr>
        <sz val="11"/>
        <color theme="1"/>
        <rFont val="Calibri"/>
        <family val="2"/>
        <scheme val="minor"/>
      </rPr>
      <t>= (ebita/total sales)*100</t>
    </r>
  </si>
  <si>
    <r>
      <rPr>
        <b/>
        <sz val="11"/>
        <color theme="1"/>
        <rFont val="Calibri"/>
        <family val="2"/>
        <scheme val="minor"/>
      </rPr>
      <t>working capital=</t>
    </r>
    <r>
      <rPr>
        <sz val="11"/>
        <color theme="1"/>
        <rFont val="Calibri"/>
        <family val="2"/>
        <scheme val="minor"/>
      </rPr>
      <t xml:space="preserve"> ca-cl</t>
    </r>
  </si>
  <si>
    <r>
      <rPr>
        <b/>
        <sz val="11"/>
        <color theme="1"/>
        <rFont val="Calibri"/>
        <family val="2"/>
        <scheme val="minor"/>
      </rPr>
      <t>liquid capital=</t>
    </r>
    <r>
      <rPr>
        <sz val="11"/>
        <color theme="1"/>
        <rFont val="Calibri"/>
        <family val="2"/>
        <scheme val="minor"/>
      </rPr>
      <t xml:space="preserve"> (cash equialents+ marketable securites+ accounts receivable)-current liabilities+ long term debt)</t>
    </r>
  </si>
  <si>
    <r>
      <rPr>
        <b/>
        <sz val="11"/>
        <color theme="1"/>
        <rFont val="Calibri"/>
        <family val="2"/>
        <scheme val="minor"/>
      </rPr>
      <t xml:space="preserve">NOPAT= </t>
    </r>
    <r>
      <rPr>
        <sz val="11"/>
        <color theme="1"/>
        <rFont val="Calibri"/>
        <family val="2"/>
        <scheme val="minor"/>
      </rPr>
      <t>net income+ tax+ int+ non-operating gains/losses*(1-tax rate)</t>
    </r>
  </si>
  <si>
    <r>
      <rPr>
        <b/>
        <sz val="11"/>
        <color theme="1"/>
        <rFont val="Calibri"/>
        <family val="2"/>
        <scheme val="minor"/>
      </rPr>
      <t>net interest expense after tax=</t>
    </r>
    <r>
      <rPr>
        <sz val="11"/>
        <color theme="1"/>
        <rFont val="Calibri"/>
        <family val="2"/>
        <scheme val="minor"/>
      </rPr>
      <t xml:space="preserve"> int exp.(1-tax rate)</t>
    </r>
  </si>
  <si>
    <r>
      <rPr>
        <b/>
        <sz val="11"/>
        <color theme="1"/>
        <rFont val="Calibri"/>
        <family val="2"/>
        <scheme val="minor"/>
      </rPr>
      <t>int.bearing liablities=</t>
    </r>
    <r>
      <rPr>
        <sz val="11"/>
        <color theme="1"/>
        <rFont val="Calibri"/>
        <family val="2"/>
        <scheme val="minor"/>
      </rPr>
      <t xml:space="preserve"> lomg term borrowings+short term borrowings+ lease liablities+ other borrowings</t>
    </r>
  </si>
  <si>
    <r>
      <rPr>
        <b/>
        <sz val="11"/>
        <color theme="1"/>
        <rFont val="Calibri"/>
        <family val="2"/>
        <scheme val="minor"/>
      </rPr>
      <t xml:space="preserve">Net debt= </t>
    </r>
    <r>
      <rPr>
        <sz val="11"/>
        <color theme="1"/>
        <rFont val="Calibri"/>
        <family val="2"/>
        <scheme val="minor"/>
      </rPr>
      <t xml:space="preserve">total debt- cash </t>
    </r>
  </si>
  <si>
    <r>
      <rPr>
        <b/>
        <sz val="11"/>
        <color theme="1"/>
        <rFont val="Calibri"/>
        <family val="2"/>
        <scheme val="minor"/>
      </rPr>
      <t>Net assets=</t>
    </r>
    <r>
      <rPr>
        <sz val="11"/>
        <color theme="1"/>
        <rFont val="Calibri"/>
        <family val="2"/>
        <scheme val="minor"/>
      </rPr>
      <t xml:space="preserve"> total assets- toal liablities</t>
    </r>
  </si>
  <si>
    <r>
      <rPr>
        <b/>
        <sz val="11"/>
        <color theme="1"/>
        <rFont val="Calibri"/>
        <family val="2"/>
        <scheme val="minor"/>
      </rPr>
      <t xml:space="preserve">NOPAT= </t>
    </r>
    <r>
      <rPr>
        <sz val="11"/>
        <color theme="1"/>
        <rFont val="Calibri"/>
        <family val="2"/>
        <scheme val="minor"/>
      </rPr>
      <t>net operating prfit after tax/operating indicators</t>
    </r>
  </si>
  <si>
    <r>
      <rPr>
        <b/>
        <sz val="11"/>
        <color theme="1"/>
        <rFont val="Calibri"/>
        <family val="2"/>
        <scheme val="minor"/>
      </rPr>
      <t>net capital</t>
    </r>
    <r>
      <rPr>
        <sz val="11"/>
        <color theme="1"/>
        <rFont val="Calibri"/>
        <family val="2"/>
        <scheme val="minor"/>
      </rPr>
      <t xml:space="preserve">= equity capital+ reserves </t>
    </r>
  </si>
  <si>
    <t xml:space="preserve">there are 2 firms A and B, A has a capital of rs.100000 and 0 debt and B has 50000 capital and 50000 debt. Interest rate on debt is 10%. EBIT of both the companies is 20000 and 30% tax. Compute ROE. </t>
  </si>
  <si>
    <t xml:space="preserve">free cash flow firm </t>
  </si>
  <si>
    <t xml:space="preserve"> Ebit calculations</t>
  </si>
  <si>
    <t>profit before tax</t>
  </si>
  <si>
    <t xml:space="preserve">add interest </t>
  </si>
  <si>
    <t xml:space="preserve">tax rate </t>
  </si>
  <si>
    <t>PBT+INTEREST</t>
  </si>
  <si>
    <t xml:space="preserve">NOPAT+ Depreciation and Amoritzation- CAPEX-Net Working Capital </t>
  </si>
  <si>
    <t>Working capital calculations</t>
  </si>
  <si>
    <t>current assets- current liablities</t>
  </si>
  <si>
    <t>Current Assets</t>
  </si>
  <si>
    <t>Curent liabilities</t>
  </si>
  <si>
    <t xml:space="preserve">Working capital </t>
  </si>
  <si>
    <t>Changes in Working Capital</t>
  </si>
  <si>
    <t xml:space="preserve">Current working capital- previous working capital </t>
  </si>
  <si>
    <t>CAPEX calculation</t>
  </si>
  <si>
    <t>Net change in fixed assets+ Depreciation</t>
  </si>
  <si>
    <t>Fixed assets</t>
  </si>
  <si>
    <t>net increase in fixed assets</t>
  </si>
  <si>
    <t>fcff</t>
  </si>
  <si>
    <t>EBIT*(1-tax rate) NOPAT</t>
  </si>
  <si>
    <t>Average</t>
  </si>
  <si>
    <t>PBT</t>
  </si>
  <si>
    <t>INTEREST</t>
  </si>
  <si>
    <t>CALCULATE EBIT</t>
  </si>
  <si>
    <t>TAX</t>
  </si>
  <si>
    <t>EBIT(1-tax)</t>
  </si>
  <si>
    <t>standard deviation</t>
  </si>
  <si>
    <t>Simulation Number</t>
  </si>
  <si>
    <t>mean</t>
  </si>
  <si>
    <t>median</t>
  </si>
  <si>
    <t>maximum</t>
  </si>
  <si>
    <t>minimum</t>
  </si>
  <si>
    <t>DEPRECIATION</t>
  </si>
  <si>
    <t>WORKING CAPITAL CHANGES</t>
  </si>
  <si>
    <t xml:space="preserve">standard deviation </t>
  </si>
  <si>
    <t>CAPEX</t>
  </si>
  <si>
    <t>FCFF</t>
  </si>
  <si>
    <t>p/b ratio= market price per share/book value per share</t>
  </si>
  <si>
    <t xml:space="preserve">1548.30 value of the marekt value per share </t>
  </si>
  <si>
    <t xml:space="preserve"> FIRST ITERATION</t>
  </si>
  <si>
    <t>Simulation values</t>
  </si>
  <si>
    <t>MONTE CARLO SIMULATION</t>
  </si>
  <si>
    <t>fcff=</t>
  </si>
  <si>
    <t>FCFF= EBIT*(1-TAX RATE)+DEPRECIATION AND AMORIZATION- CHANGE IN WORKING CAPITAL- CAPITAL EXPENDITURE</t>
  </si>
  <si>
    <t>trend line</t>
  </si>
  <si>
    <t>NPV (10%)</t>
  </si>
  <si>
    <t>Growth rates(21%)</t>
  </si>
  <si>
    <t>interpretations</t>
  </si>
  <si>
    <t>Net income rose steadily from ₹256 Cr (2020) to ₹757 Cr (2025), showing strong profit growth driven by rising sales and efficient operations.</t>
  </si>
  <si>
    <t>Sales nearly tripled from ₹7,723 Cr (2020) to ₹20,690 Cr (2025), reflecting expanding market presence and strong demand.</t>
  </si>
  <si>
    <t>ROS improved from 3.3% to about 4%, showing better cost management and stable profitability despite rising expenses.</t>
  </si>
  <si>
    <t>Slightly declined from 2.5 to 2.7, suggesting the company maintains efficient use of its assets to generate revenue, though asset base expansion slightly reduced turnover efficiency.</t>
  </si>
  <si>
    <t>ROA increased from 7.8% (2020) to 10% (2025), indicating that assets are generating better returns over time, supported by improved earnings.</t>
  </si>
  <si>
    <t>Fluctuated between 89–136, implying moderate reliance on debt financing. The increasing leverage indicates higher risk but also potential for higher shareholder returns.</t>
  </si>
  <si>
    <t>ROE improved from 10.2% to 13.5%, showing strong returns to shareholders and efficient capital utilization.</t>
  </si>
  <si>
    <t>Grew from ₹1,515 Cr to ₹3,467 Cr, showing rising liquidity and working capital availability.</t>
  </si>
  <si>
    <t>Increased from ₹1,152 Cr to ₹2,753 Cr, consistent with company expansion and larger operations.</t>
  </si>
  <si>
    <t>Remained stable around 1.2–1.3, indicating a balanced liquidity position and the ability to meet short-term obligations.</t>
  </si>
  <si>
    <t>Increased from ₹6,956 Cr to ₹18,710 Cr, reflecting higher production volumes but also rising input costs.</t>
  </si>
  <si>
    <t>Steadily increased from ₹1,176 Cr to ₹2,449 Cr, showing business growth and higher product availability for demand fulfillment.</t>
  </si>
  <si>
    <t>Fluctuated between 5.9 and 9.8, settling around 7.6 in 2025. It reflects efficient inventory management but slower turnover in recent years due to rising stock levels.</t>
  </si>
  <si>
    <t>Very low ratio, indicating efficient recovery of dues and strong credit management practices</t>
  </si>
  <si>
    <t>Consistently positive, confirming steady top-line growth each year as the company expands production and sales volume.</t>
  </si>
  <si>
    <t>Shows stability, meaning production and operational efficiency remain under control even with increasing scale.</t>
  </si>
  <si>
    <t>Fluctuated between small negative and zero values — indicates retained profits are reinvested in business expansion rather than distributed as dividends.</t>
  </si>
  <si>
    <t>EBT margin remains stable between 5–8%, reflecting consistent profitability. Free cash flow and working capital improve annually, suggesting healthy financial management and operational efficiency.</t>
  </si>
  <si>
    <t>EBIT and contribution increase year by year, showing enhanced operational efficiency. The variable cost ratio remains almost constant, indicating controlled cost structures. Degree of leverage shows steady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</si>
</sst>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sz val="11"/>
      <color rgb="FF665EFD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3">
    <xf numFmtId="0" fontId="0" fillId="0" borderId="0" xfId="0"/>
    <xf numFmtId="17" fontId="2" fillId="2" borderId="1" xfId="0" applyNumberFormat="1" applyFont="1" applyFill="1" applyBorder="1" applyAlignment="1">
      <alignment horizontal="left" vertical="center" wrapText="1" indent="1"/>
    </xf>
    <xf numFmtId="16" fontId="2" fillId="2" borderId="1" xfId="0" applyNumberFormat="1" applyFont="1" applyFill="1" applyBorder="1" applyAlignment="1">
      <alignment horizontal="left" vertical="center" wrapText="1" indent="1"/>
    </xf>
    <xf numFmtId="0" fontId="0" fillId="2" borderId="1" xfId="0" applyFill="1" applyBorder="1" applyAlignment="1">
      <alignment horizontal="left" indent="1"/>
    </xf>
    <xf numFmtId="0" fontId="1" fillId="3" borderId="1" xfId="0" applyFont="1" applyFill="1" applyBorder="1" applyAlignment="1">
      <alignment horizontal="left" vertical="center" indent="1"/>
    </xf>
    <xf numFmtId="3" fontId="1" fillId="3" borderId="1" xfId="0" applyNumberFormat="1" applyFont="1" applyFill="1" applyBorder="1" applyAlignment="1">
      <alignment horizontal="left" vertical="center" wrapText="1" indent="1"/>
    </xf>
    <xf numFmtId="10" fontId="1" fillId="3" borderId="1" xfId="0" applyNumberFormat="1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indent="1"/>
    </xf>
    <xf numFmtId="3" fontId="1" fillId="2" borderId="1" xfId="0" applyNumberFormat="1" applyFont="1" applyFill="1" applyBorder="1" applyAlignment="1">
      <alignment horizontal="left" vertical="center" wrapText="1" indent="1"/>
    </xf>
    <xf numFmtId="9" fontId="1" fillId="2" borderId="1" xfId="0" applyNumberFormat="1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9" fontId="1" fillId="3" borderId="1" xfId="0" applyNumberFormat="1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right" vertical="center" wrapText="1"/>
    </xf>
    <xf numFmtId="17" fontId="2" fillId="2" borderId="1" xfId="0" applyNumberFormat="1" applyFont="1" applyFill="1" applyBorder="1" applyAlignment="1">
      <alignment horizontal="right" vertical="center" wrapText="1"/>
    </xf>
    <xf numFmtId="16" fontId="0" fillId="2" borderId="1" xfId="0" applyNumberFormat="1" applyFill="1" applyBorder="1"/>
    <xf numFmtId="0" fontId="0" fillId="0" borderId="1" xfId="0" applyBorder="1"/>
    <xf numFmtId="16" fontId="0" fillId="2" borderId="2" xfId="0" applyNumberFormat="1" applyFill="1" applyBorder="1"/>
    <xf numFmtId="3" fontId="1" fillId="3" borderId="2" xfId="0" applyNumberFormat="1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17" fontId="2" fillId="2" borderId="0" xfId="0" applyNumberFormat="1" applyFont="1" applyFill="1" applyAlignment="1">
      <alignment horizontal="right" vertical="center" wrapText="1"/>
    </xf>
    <xf numFmtId="16" fontId="0" fillId="2" borderId="0" xfId="0" applyNumberFormat="1" applyFill="1"/>
    <xf numFmtId="0" fontId="1" fillId="3" borderId="0" xfId="0" applyFont="1" applyFill="1" applyAlignment="1">
      <alignment horizontal="right" vertical="center" wrapText="1"/>
    </xf>
    <xf numFmtId="3" fontId="1" fillId="3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4" fontId="0" fillId="0" borderId="0" xfId="0" applyNumberFormat="1"/>
    <xf numFmtId="3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1" applyFont="1"/>
    <xf numFmtId="9" fontId="0" fillId="0" borderId="0" xfId="0" applyNumberFormat="1"/>
    <xf numFmtId="2" fontId="0" fillId="0" borderId="0" xfId="1" applyNumberFormat="1" applyFont="1"/>
    <xf numFmtId="2" fontId="0" fillId="0" borderId="0" xfId="0" applyNumberFormat="1"/>
    <xf numFmtId="0" fontId="5" fillId="0" borderId="0" xfId="0" applyFont="1"/>
    <xf numFmtId="0" fontId="5" fillId="0" borderId="3" xfId="0" applyFont="1" applyBorder="1"/>
    <xf numFmtId="0" fontId="0" fillId="4" borderId="0" xfId="0" applyFill="1"/>
    <xf numFmtId="0" fontId="0" fillId="5" borderId="0" xfId="0" applyFill="1"/>
    <xf numFmtId="17" fontId="5" fillId="0" borderId="0" xfId="0" applyNumberFormat="1" applyFont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9" fontId="5" fillId="0" borderId="0" xfId="0" applyNumberFormat="1" applyFont="1" applyAlignment="1">
      <alignment vertical="center" wrapText="1"/>
    </xf>
    <xf numFmtId="0" fontId="5" fillId="4" borderId="0" xfId="0" applyFont="1" applyFill="1"/>
    <xf numFmtId="0" fontId="0" fillId="7" borderId="0" xfId="0" applyFill="1"/>
    <xf numFmtId="0" fontId="0" fillId="6" borderId="0" xfId="0" applyFill="1"/>
    <xf numFmtId="0" fontId="0" fillId="5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0" fillId="9" borderId="0" xfId="0" applyFill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CC5C-F89C-4613-A9CF-A594035FE5DF}">
  <dimension ref="A1:M38"/>
  <sheetViews>
    <sheetView topLeftCell="A18" workbookViewId="0">
      <selection activeCell="D30" sqref="D30"/>
    </sheetView>
  </sheetViews>
  <sheetFormatPr defaultRowHeight="14.5" x14ac:dyDescent="0.35"/>
  <cols>
    <col min="1" max="1" width="33.7265625" style="21" customWidth="1"/>
    <col min="2" max="16384" width="8.7265625" style="21"/>
  </cols>
  <sheetData>
    <row r="1" spans="1:13" x14ac:dyDescent="0.35">
      <c r="A1" s="19"/>
      <c r="B1" s="19">
        <v>43525</v>
      </c>
      <c r="C1" s="19">
        <v>43891</v>
      </c>
      <c r="D1" s="19">
        <v>44256</v>
      </c>
      <c r="E1" s="19">
        <v>44621</v>
      </c>
      <c r="F1" s="19">
        <v>44986</v>
      </c>
      <c r="G1" s="19">
        <v>45352</v>
      </c>
      <c r="H1" s="20">
        <v>45741</v>
      </c>
      <c r="I1" s="19"/>
      <c r="J1" s="19"/>
      <c r="K1" s="19"/>
      <c r="L1" s="19"/>
      <c r="M1" s="20"/>
    </row>
    <row r="2" spans="1:13" x14ac:dyDescent="0.35">
      <c r="A2" s="4" t="s">
        <v>22</v>
      </c>
      <c r="B2" s="13">
        <v>24</v>
      </c>
      <c r="C2" s="13">
        <v>25</v>
      </c>
      <c r="D2" s="13">
        <v>25</v>
      </c>
      <c r="E2" s="13">
        <v>50</v>
      </c>
      <c r="F2" s="13">
        <v>55</v>
      </c>
      <c r="G2" s="13">
        <v>56</v>
      </c>
      <c r="H2" s="13">
        <v>56</v>
      </c>
      <c r="I2" s="13"/>
      <c r="J2" s="13"/>
      <c r="K2" s="13"/>
      <c r="L2" s="13"/>
      <c r="M2" s="13"/>
    </row>
    <row r="3" spans="1:13" x14ac:dyDescent="0.35">
      <c r="A3" s="8" t="s">
        <v>23</v>
      </c>
      <c r="B3" s="14">
        <v>940</v>
      </c>
      <c r="C3" s="15">
        <v>1331</v>
      </c>
      <c r="D3" s="15">
        <v>1670</v>
      </c>
      <c r="E3" s="15">
        <v>2414</v>
      </c>
      <c r="F3" s="15">
        <v>2950</v>
      </c>
      <c r="G3" s="15">
        <v>3549</v>
      </c>
      <c r="H3" s="15">
        <v>4153</v>
      </c>
      <c r="I3" s="15"/>
      <c r="J3" s="15"/>
      <c r="K3" s="15"/>
      <c r="L3" s="15"/>
      <c r="M3" s="15"/>
    </row>
    <row r="4" spans="1:13" x14ac:dyDescent="0.35">
      <c r="A4" s="4" t="s">
        <v>83</v>
      </c>
      <c r="B4" s="13">
        <v>858</v>
      </c>
      <c r="C4" s="13">
        <v>834</v>
      </c>
      <c r="D4" s="13">
        <v>520</v>
      </c>
      <c r="E4" s="13">
        <v>581</v>
      </c>
      <c r="F4" s="13">
        <v>873</v>
      </c>
      <c r="G4" s="18">
        <v>1144</v>
      </c>
      <c r="H4" s="13">
        <v>634</v>
      </c>
      <c r="I4" s="13"/>
      <c r="J4" s="13"/>
      <c r="K4" s="13"/>
      <c r="L4" s="18"/>
      <c r="M4" s="13"/>
    </row>
    <row r="5" spans="1:13" x14ac:dyDescent="0.35">
      <c r="A5" s="16" t="s">
        <v>24</v>
      </c>
      <c r="B5" s="13">
        <v>175</v>
      </c>
      <c r="C5" s="13">
        <v>404</v>
      </c>
      <c r="D5" s="13">
        <v>183</v>
      </c>
      <c r="E5" s="13">
        <v>347</v>
      </c>
      <c r="F5" s="13">
        <v>408</v>
      </c>
      <c r="G5" s="13">
        <v>787</v>
      </c>
      <c r="H5" s="13">
        <v>409</v>
      </c>
      <c r="I5" s="13"/>
      <c r="J5" s="13"/>
      <c r="K5" s="13"/>
      <c r="L5" s="13"/>
      <c r="M5" s="13"/>
    </row>
    <row r="6" spans="1:13" x14ac:dyDescent="0.35">
      <c r="A6" s="16" t="s">
        <v>25</v>
      </c>
      <c r="B6" s="13">
        <v>536</v>
      </c>
      <c r="C6" s="13">
        <v>323</v>
      </c>
      <c r="D6" s="13">
        <v>337</v>
      </c>
      <c r="E6" s="13">
        <v>233</v>
      </c>
      <c r="F6" s="13">
        <v>465</v>
      </c>
      <c r="G6" s="13">
        <v>338</v>
      </c>
      <c r="H6" s="13">
        <v>206</v>
      </c>
      <c r="I6" s="13"/>
      <c r="J6" s="13"/>
      <c r="K6" s="13"/>
      <c r="L6" s="13"/>
      <c r="M6" s="13"/>
    </row>
    <row r="7" spans="1:13" x14ac:dyDescent="0.35">
      <c r="A7" s="16" t="s">
        <v>26</v>
      </c>
      <c r="B7" s="13">
        <v>0</v>
      </c>
      <c r="C7" s="13">
        <v>1</v>
      </c>
      <c r="D7" s="13">
        <v>0</v>
      </c>
      <c r="E7" s="13">
        <v>1</v>
      </c>
      <c r="F7" s="13">
        <v>0</v>
      </c>
      <c r="G7" s="13">
        <v>20</v>
      </c>
      <c r="H7" s="13">
        <v>20</v>
      </c>
      <c r="I7" s="13"/>
      <c r="J7" s="13"/>
      <c r="K7" s="13"/>
      <c r="L7" s="13"/>
      <c r="M7" s="13"/>
    </row>
    <row r="8" spans="1:13" x14ac:dyDescent="0.35">
      <c r="A8" s="16" t="s">
        <v>27</v>
      </c>
      <c r="B8" s="13">
        <v>148</v>
      </c>
      <c r="C8" s="13">
        <v>107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/>
      <c r="J8" s="13"/>
      <c r="K8" s="13"/>
      <c r="L8" s="13"/>
      <c r="M8" s="13"/>
    </row>
    <row r="9" spans="1:13" x14ac:dyDescent="0.35">
      <c r="A9" s="8" t="s">
        <v>84</v>
      </c>
      <c r="B9" s="14">
        <v>952</v>
      </c>
      <c r="C9" s="15">
        <v>1075</v>
      </c>
      <c r="D9" s="15">
        <v>1184</v>
      </c>
      <c r="E9" s="15">
        <v>1407</v>
      </c>
      <c r="F9" s="15">
        <v>1973</v>
      </c>
      <c r="G9" s="15">
        <v>2438</v>
      </c>
      <c r="H9" s="15">
        <v>2753</v>
      </c>
      <c r="I9" s="15"/>
      <c r="J9" s="15"/>
      <c r="K9" s="15"/>
      <c r="L9" s="15"/>
      <c r="M9" s="15"/>
    </row>
    <row r="10" spans="1:13" x14ac:dyDescent="0.35">
      <c r="A10" s="17" t="s">
        <v>28</v>
      </c>
      <c r="B10" s="14">
        <v>0</v>
      </c>
      <c r="C10" s="14">
        <v>95</v>
      </c>
      <c r="D10" s="14">
        <v>138</v>
      </c>
      <c r="E10" s="14">
        <v>0</v>
      </c>
      <c r="F10" s="14">
        <v>0</v>
      </c>
      <c r="G10" s="14">
        <v>0</v>
      </c>
      <c r="H10" s="14">
        <v>0</v>
      </c>
      <c r="I10" s="14"/>
      <c r="J10" s="14"/>
      <c r="K10" s="14"/>
      <c r="L10" s="14"/>
      <c r="M10" s="14"/>
    </row>
    <row r="11" spans="1:13" x14ac:dyDescent="0.35">
      <c r="A11" s="17" t="s">
        <v>29</v>
      </c>
      <c r="B11" s="14">
        <v>699</v>
      </c>
      <c r="C11" s="14">
        <v>764</v>
      </c>
      <c r="D11" s="14">
        <v>786</v>
      </c>
      <c r="E11" s="15">
        <v>1059</v>
      </c>
      <c r="F11" s="15">
        <v>1597</v>
      </c>
      <c r="G11" s="15">
        <v>1982</v>
      </c>
      <c r="H11" s="15">
        <v>2231</v>
      </c>
      <c r="I11" s="14"/>
      <c r="J11" s="15"/>
      <c r="K11" s="15"/>
      <c r="L11" s="15"/>
      <c r="M11" s="15"/>
    </row>
    <row r="12" spans="1:13" x14ac:dyDescent="0.35">
      <c r="A12" s="17" t="s">
        <v>30</v>
      </c>
      <c r="B12" s="14">
        <v>14</v>
      </c>
      <c r="C12" s="14">
        <v>7</v>
      </c>
      <c r="D12" s="14">
        <v>12</v>
      </c>
      <c r="E12" s="14">
        <v>28</v>
      </c>
      <c r="F12" s="14">
        <v>25</v>
      </c>
      <c r="G12" s="14">
        <v>32</v>
      </c>
      <c r="H12" s="14">
        <v>79</v>
      </c>
      <c r="I12" s="14"/>
      <c r="J12" s="14"/>
      <c r="K12" s="14"/>
      <c r="L12" s="14"/>
      <c r="M12" s="14"/>
    </row>
    <row r="13" spans="1:13" x14ac:dyDescent="0.35">
      <c r="A13" s="17" t="s">
        <v>31</v>
      </c>
      <c r="B13" s="14">
        <v>239</v>
      </c>
      <c r="C13" s="14">
        <v>209</v>
      </c>
      <c r="D13" s="14">
        <v>248</v>
      </c>
      <c r="E13" s="14">
        <v>320</v>
      </c>
      <c r="F13" s="14">
        <v>351</v>
      </c>
      <c r="G13" s="14">
        <v>424</v>
      </c>
      <c r="H13" s="14">
        <v>443</v>
      </c>
      <c r="I13" s="14"/>
      <c r="J13" s="14"/>
      <c r="K13" s="14"/>
      <c r="L13" s="14"/>
      <c r="M13" s="14"/>
    </row>
    <row r="14" spans="1:13" x14ac:dyDescent="0.35">
      <c r="A14" s="4" t="s">
        <v>32</v>
      </c>
      <c r="B14" s="18">
        <v>2774</v>
      </c>
      <c r="C14" s="18">
        <v>3266</v>
      </c>
      <c r="D14" s="18">
        <v>3399</v>
      </c>
      <c r="E14" s="18">
        <v>4452</v>
      </c>
      <c r="F14" s="18">
        <v>5852</v>
      </c>
      <c r="G14" s="18">
        <v>7187</v>
      </c>
      <c r="H14" s="18">
        <v>7596</v>
      </c>
      <c r="I14" s="18"/>
      <c r="J14" s="18"/>
      <c r="K14" s="18"/>
      <c r="L14" s="18"/>
      <c r="M14" s="18"/>
    </row>
    <row r="15" spans="1:13" x14ac:dyDescent="0.35">
      <c r="A15" s="8" t="s">
        <v>85</v>
      </c>
      <c r="B15" s="15">
        <v>1034</v>
      </c>
      <c r="C15" s="15">
        <v>1708</v>
      </c>
      <c r="D15" s="15">
        <v>1736</v>
      </c>
      <c r="E15" s="15">
        <v>1837</v>
      </c>
      <c r="F15" s="15">
        <v>2580</v>
      </c>
      <c r="G15" s="15">
        <v>3281</v>
      </c>
      <c r="H15" s="15">
        <v>3668</v>
      </c>
      <c r="I15" s="15"/>
      <c r="J15" s="15"/>
      <c r="K15" s="15"/>
      <c r="L15" s="15"/>
      <c r="M15" s="15"/>
    </row>
    <row r="16" spans="1:13" x14ac:dyDescent="0.35">
      <c r="A16" s="17" t="s">
        <v>33</v>
      </c>
      <c r="B16" s="14">
        <v>23</v>
      </c>
      <c r="C16" s="14">
        <v>222</v>
      </c>
      <c r="D16" s="14">
        <v>224</v>
      </c>
      <c r="E16" s="14">
        <v>253</v>
      </c>
      <c r="F16" s="14">
        <v>269</v>
      </c>
      <c r="G16" s="14">
        <v>288</v>
      </c>
      <c r="H16" s="14">
        <v>328</v>
      </c>
      <c r="I16" s="14"/>
      <c r="J16" s="14"/>
      <c r="K16" s="14"/>
      <c r="L16" s="14"/>
      <c r="M16" s="14"/>
    </row>
    <row r="17" spans="1:13" x14ac:dyDescent="0.35">
      <c r="A17" s="17" t="s">
        <v>34</v>
      </c>
      <c r="B17" s="14">
        <v>248</v>
      </c>
      <c r="C17" s="14">
        <v>354</v>
      </c>
      <c r="D17" s="14">
        <v>362</v>
      </c>
      <c r="E17" s="14">
        <v>386</v>
      </c>
      <c r="F17" s="14">
        <v>580</v>
      </c>
      <c r="G17" s="14">
        <v>831</v>
      </c>
      <c r="H17" s="14">
        <v>932</v>
      </c>
      <c r="I17" s="14"/>
      <c r="J17" s="14"/>
      <c r="K17" s="14"/>
      <c r="L17" s="14"/>
      <c r="M17" s="14"/>
    </row>
    <row r="18" spans="1:13" x14ac:dyDescent="0.35">
      <c r="A18" s="17" t="s">
        <v>35</v>
      </c>
      <c r="B18" s="14">
        <v>868</v>
      </c>
      <c r="C18" s="15">
        <v>1208</v>
      </c>
      <c r="D18" s="15">
        <v>1302</v>
      </c>
      <c r="E18" s="15">
        <v>1440</v>
      </c>
      <c r="F18" s="15">
        <v>2091</v>
      </c>
      <c r="G18" s="15">
        <v>2610</v>
      </c>
      <c r="H18" s="15">
        <v>3011</v>
      </c>
      <c r="I18" s="15"/>
      <c r="J18" s="15"/>
      <c r="K18" s="15"/>
      <c r="L18" s="15"/>
      <c r="M18" s="15"/>
    </row>
    <row r="19" spans="1:13" x14ac:dyDescent="0.35">
      <c r="A19" s="17" t="s">
        <v>36</v>
      </c>
      <c r="B19" s="14">
        <v>4</v>
      </c>
      <c r="C19" s="14">
        <v>6</v>
      </c>
      <c r="D19" s="14">
        <v>7</v>
      </c>
      <c r="E19" s="14">
        <v>9</v>
      </c>
      <c r="F19" s="14">
        <v>10</v>
      </c>
      <c r="G19" s="14">
        <v>15</v>
      </c>
      <c r="H19" s="14">
        <v>21</v>
      </c>
      <c r="I19" s="14"/>
      <c r="J19" s="14"/>
      <c r="K19" s="14"/>
      <c r="L19" s="14"/>
      <c r="M19" s="14"/>
    </row>
    <row r="20" spans="1:13" x14ac:dyDescent="0.35">
      <c r="A20" s="17" t="s">
        <v>37</v>
      </c>
      <c r="B20" s="14">
        <v>2</v>
      </c>
      <c r="C20" s="14">
        <v>3</v>
      </c>
      <c r="D20" s="14">
        <v>4</v>
      </c>
      <c r="E20" s="14">
        <v>5</v>
      </c>
      <c r="F20" s="14">
        <v>7</v>
      </c>
      <c r="G20" s="14">
        <v>11</v>
      </c>
      <c r="H20" s="14">
        <v>13</v>
      </c>
      <c r="I20" s="14"/>
      <c r="J20" s="14"/>
      <c r="K20" s="14"/>
      <c r="L20" s="14"/>
      <c r="M20" s="14"/>
    </row>
    <row r="21" spans="1:13" x14ac:dyDescent="0.35">
      <c r="A21" s="17" t="s">
        <v>38</v>
      </c>
      <c r="B21" s="14">
        <v>8</v>
      </c>
      <c r="C21" s="14">
        <v>10</v>
      </c>
      <c r="D21" s="14">
        <v>11</v>
      </c>
      <c r="E21" s="14">
        <v>13</v>
      </c>
      <c r="F21" s="14">
        <v>14</v>
      </c>
      <c r="G21" s="14">
        <v>53</v>
      </c>
      <c r="H21" s="14">
        <v>57</v>
      </c>
      <c r="I21" s="14"/>
      <c r="J21" s="14"/>
      <c r="K21" s="14"/>
      <c r="L21" s="14"/>
      <c r="M21" s="14"/>
    </row>
    <row r="22" spans="1:13" x14ac:dyDescent="0.35">
      <c r="A22" s="17" t="s">
        <v>39</v>
      </c>
      <c r="B22" s="14">
        <v>9</v>
      </c>
      <c r="C22" s="14">
        <v>12</v>
      </c>
      <c r="D22" s="14">
        <v>23</v>
      </c>
      <c r="E22" s="14">
        <v>27</v>
      </c>
      <c r="F22" s="14">
        <v>28</v>
      </c>
      <c r="G22" s="14">
        <v>28</v>
      </c>
      <c r="H22" s="14">
        <v>39</v>
      </c>
      <c r="I22" s="14"/>
      <c r="J22" s="14"/>
      <c r="K22" s="14"/>
      <c r="L22" s="14"/>
      <c r="M22" s="14"/>
    </row>
    <row r="23" spans="1:13" x14ac:dyDescent="0.35">
      <c r="A23" s="17" t="s">
        <v>40</v>
      </c>
      <c r="B23" s="14">
        <v>23</v>
      </c>
      <c r="C23" s="14">
        <v>138</v>
      </c>
      <c r="D23" s="14">
        <v>138</v>
      </c>
      <c r="E23" s="14">
        <v>138</v>
      </c>
      <c r="F23" s="14">
        <v>138</v>
      </c>
      <c r="G23" s="14">
        <v>138</v>
      </c>
      <c r="H23" s="14">
        <v>138</v>
      </c>
      <c r="I23" s="14"/>
      <c r="J23" s="14"/>
      <c r="K23" s="14"/>
      <c r="L23" s="14"/>
      <c r="M23" s="14"/>
    </row>
    <row r="24" spans="1:13" x14ac:dyDescent="0.35">
      <c r="A24" s="17" t="s">
        <v>41</v>
      </c>
      <c r="B24" s="14">
        <v>5</v>
      </c>
      <c r="C24" s="14">
        <v>6</v>
      </c>
      <c r="D24" s="14">
        <v>6</v>
      </c>
      <c r="E24" s="14">
        <v>7</v>
      </c>
      <c r="F24" s="14">
        <v>7</v>
      </c>
      <c r="G24" s="14">
        <v>9</v>
      </c>
      <c r="H24" s="14">
        <v>10</v>
      </c>
      <c r="I24" s="14"/>
      <c r="J24" s="14"/>
      <c r="K24" s="14"/>
      <c r="L24" s="14"/>
      <c r="M24" s="14"/>
    </row>
    <row r="25" spans="1:13" x14ac:dyDescent="0.35">
      <c r="A25" s="17" t="s">
        <v>42</v>
      </c>
      <c r="B25" s="15">
        <v>1191</v>
      </c>
      <c r="C25" s="15">
        <v>1958</v>
      </c>
      <c r="D25" s="15">
        <v>2076</v>
      </c>
      <c r="E25" s="15">
        <v>2277</v>
      </c>
      <c r="F25" s="15">
        <v>3144</v>
      </c>
      <c r="G25" s="15">
        <v>3983</v>
      </c>
      <c r="H25" s="15">
        <v>4548</v>
      </c>
      <c r="I25" s="15"/>
      <c r="J25" s="15"/>
      <c r="K25" s="15"/>
      <c r="L25" s="15"/>
      <c r="M25" s="15"/>
    </row>
    <row r="26" spans="1:13" x14ac:dyDescent="0.35">
      <c r="A26" s="17" t="s">
        <v>43</v>
      </c>
      <c r="B26" s="14">
        <v>157</v>
      </c>
      <c r="C26" s="14">
        <v>250</v>
      </c>
      <c r="D26" s="14">
        <v>341</v>
      </c>
      <c r="E26" s="14">
        <v>440</v>
      </c>
      <c r="F26" s="14">
        <v>564</v>
      </c>
      <c r="G26" s="14">
        <v>702</v>
      </c>
      <c r="H26" s="14">
        <v>880</v>
      </c>
      <c r="I26" s="14"/>
      <c r="J26" s="14"/>
      <c r="K26" s="14"/>
      <c r="L26" s="14"/>
      <c r="M26" s="14"/>
    </row>
    <row r="27" spans="1:13" x14ac:dyDescent="0.35">
      <c r="A27" s="4" t="s">
        <v>44</v>
      </c>
      <c r="B27" s="13">
        <v>27</v>
      </c>
      <c r="C27" s="13">
        <v>10</v>
      </c>
      <c r="D27" s="13">
        <v>108</v>
      </c>
      <c r="E27" s="13">
        <v>504</v>
      </c>
      <c r="F27" s="13">
        <v>374</v>
      </c>
      <c r="G27" s="13">
        <v>203</v>
      </c>
      <c r="H27" s="13">
        <v>336</v>
      </c>
      <c r="I27" s="13"/>
      <c r="J27" s="13"/>
      <c r="K27" s="13"/>
      <c r="L27" s="13"/>
      <c r="M27" s="13"/>
    </row>
    <row r="28" spans="1:13" x14ac:dyDescent="0.35">
      <c r="A28" s="8" t="s">
        <v>45</v>
      </c>
      <c r="B28" s="14">
        <v>49</v>
      </c>
      <c r="C28" s="14">
        <v>2</v>
      </c>
      <c r="D28" s="14">
        <v>1</v>
      </c>
      <c r="E28" s="14">
        <v>91</v>
      </c>
      <c r="F28" s="14">
        <v>96</v>
      </c>
      <c r="G28" s="14">
        <v>103</v>
      </c>
      <c r="H28" s="14">
        <v>126</v>
      </c>
      <c r="I28" s="14"/>
      <c r="J28" s="14"/>
      <c r="K28" s="14"/>
      <c r="L28" s="14"/>
      <c r="M28" s="14"/>
    </row>
    <row r="29" spans="1:13" x14ac:dyDescent="0.35">
      <c r="A29" s="4" t="s">
        <v>86</v>
      </c>
      <c r="B29" s="18">
        <v>1663</v>
      </c>
      <c r="C29" s="18">
        <v>1546</v>
      </c>
      <c r="D29" s="18">
        <v>1554</v>
      </c>
      <c r="E29" s="18">
        <v>2020</v>
      </c>
      <c r="F29" s="18">
        <v>2801</v>
      </c>
      <c r="G29" s="18">
        <v>3600</v>
      </c>
      <c r="H29" s="18">
        <v>3467</v>
      </c>
      <c r="I29" s="18"/>
      <c r="J29" s="18"/>
      <c r="K29" s="18"/>
      <c r="L29" s="18"/>
      <c r="M29" s="18"/>
    </row>
    <row r="30" spans="1:13" x14ac:dyDescent="0.35">
      <c r="A30" s="16" t="s">
        <v>46</v>
      </c>
      <c r="B30" s="13">
        <v>784</v>
      </c>
      <c r="C30" s="13">
        <v>784</v>
      </c>
      <c r="D30" s="13">
        <v>760</v>
      </c>
      <c r="E30" s="13">
        <v>847</v>
      </c>
      <c r="F30" s="18">
        <v>1480</v>
      </c>
      <c r="G30" s="18">
        <v>1638</v>
      </c>
      <c r="H30" s="18">
        <v>1623</v>
      </c>
      <c r="I30" s="13"/>
      <c r="J30" s="13"/>
      <c r="K30" s="18"/>
      <c r="L30" s="18"/>
      <c r="M30" s="18"/>
    </row>
    <row r="31" spans="1:13" x14ac:dyDescent="0.35">
      <c r="A31" s="16" t="s">
        <v>87</v>
      </c>
      <c r="B31" s="13">
        <v>543</v>
      </c>
      <c r="C31" s="13">
        <v>476</v>
      </c>
      <c r="D31" s="13">
        <v>131</v>
      </c>
      <c r="E31" s="13">
        <v>342</v>
      </c>
      <c r="F31" s="13">
        <v>137</v>
      </c>
      <c r="G31" s="13">
        <v>139</v>
      </c>
      <c r="H31" s="13">
        <v>267</v>
      </c>
      <c r="I31" s="13"/>
      <c r="J31" s="13"/>
      <c r="K31" s="13"/>
      <c r="L31" s="13"/>
      <c r="M31" s="13"/>
    </row>
    <row r="32" spans="1:13" x14ac:dyDescent="0.35">
      <c r="A32" s="16" t="s">
        <v>47</v>
      </c>
      <c r="B32" s="13">
        <v>0</v>
      </c>
      <c r="C32" s="13">
        <v>0</v>
      </c>
      <c r="D32" s="13">
        <v>0</v>
      </c>
      <c r="E32" s="13">
        <v>0</v>
      </c>
      <c r="F32" s="13">
        <v>3</v>
      </c>
      <c r="G32" s="13">
        <v>5</v>
      </c>
      <c r="H32" s="13">
        <v>14</v>
      </c>
      <c r="I32" s="13"/>
      <c r="J32" s="13"/>
      <c r="K32" s="13"/>
      <c r="L32" s="13"/>
      <c r="M32" s="13"/>
    </row>
    <row r="33" spans="1:13" x14ac:dyDescent="0.35">
      <c r="A33" s="16" t="s">
        <v>48</v>
      </c>
      <c r="B33" s="13">
        <v>549</v>
      </c>
      <c r="C33" s="13">
        <v>484</v>
      </c>
      <c r="D33" s="13">
        <v>137</v>
      </c>
      <c r="E33" s="13">
        <v>348</v>
      </c>
      <c r="F33" s="13">
        <v>137</v>
      </c>
      <c r="G33" s="13">
        <v>137</v>
      </c>
      <c r="H33" s="13">
        <v>260</v>
      </c>
      <c r="I33" s="13"/>
      <c r="J33" s="13"/>
      <c r="K33" s="13"/>
      <c r="L33" s="13"/>
      <c r="M33" s="13"/>
    </row>
    <row r="34" spans="1:13" x14ac:dyDescent="0.35">
      <c r="A34" s="16" t="s">
        <v>49</v>
      </c>
      <c r="B34" s="13">
        <v>-5</v>
      </c>
      <c r="C34" s="13">
        <v>-8</v>
      </c>
      <c r="D34" s="13">
        <v>-6</v>
      </c>
      <c r="E34" s="13">
        <v>-6</v>
      </c>
      <c r="F34" s="13">
        <v>-2</v>
      </c>
      <c r="G34" s="13">
        <v>-3</v>
      </c>
      <c r="H34" s="13">
        <v>-7</v>
      </c>
      <c r="I34" s="13"/>
      <c r="J34" s="13"/>
      <c r="K34" s="13"/>
      <c r="L34" s="13"/>
      <c r="M34" s="13"/>
    </row>
    <row r="35" spans="1:13" x14ac:dyDescent="0.35">
      <c r="A35" s="16" t="s">
        <v>50</v>
      </c>
      <c r="B35" s="13">
        <v>48</v>
      </c>
      <c r="C35" s="13">
        <v>46</v>
      </c>
      <c r="D35" s="13">
        <v>358</v>
      </c>
      <c r="E35" s="13">
        <v>376</v>
      </c>
      <c r="F35" s="13">
        <v>352</v>
      </c>
      <c r="G35" s="13">
        <v>348</v>
      </c>
      <c r="H35" s="13">
        <v>575</v>
      </c>
      <c r="I35" s="13"/>
      <c r="J35" s="13"/>
      <c r="K35" s="13"/>
      <c r="L35" s="13"/>
      <c r="M35" s="13"/>
    </row>
    <row r="36" spans="1:13" x14ac:dyDescent="0.35">
      <c r="A36" s="16" t="s">
        <v>51</v>
      </c>
      <c r="B36" s="13">
        <v>56</v>
      </c>
      <c r="C36" s="13">
        <v>38</v>
      </c>
      <c r="D36" s="13">
        <v>110</v>
      </c>
      <c r="E36" s="13">
        <v>176</v>
      </c>
      <c r="F36" s="13">
        <v>70</v>
      </c>
      <c r="G36" s="13">
        <v>136</v>
      </c>
      <c r="H36" s="13">
        <v>213</v>
      </c>
      <c r="I36" s="13"/>
      <c r="J36" s="13"/>
      <c r="K36" s="13"/>
      <c r="L36" s="13"/>
      <c r="M36" s="13"/>
    </row>
    <row r="37" spans="1:13" x14ac:dyDescent="0.35">
      <c r="A37" s="16" t="s">
        <v>52</v>
      </c>
      <c r="B37" s="13">
        <v>232</v>
      </c>
      <c r="C37" s="13">
        <v>202</v>
      </c>
      <c r="D37" s="13">
        <v>196</v>
      </c>
      <c r="E37" s="13">
        <v>278</v>
      </c>
      <c r="F37" s="13">
        <v>762</v>
      </c>
      <c r="G37" s="18">
        <v>1339</v>
      </c>
      <c r="H37" s="13">
        <v>788</v>
      </c>
      <c r="I37" s="13"/>
      <c r="J37" s="13"/>
      <c r="K37" s="13"/>
      <c r="L37" s="18"/>
      <c r="M37" s="13"/>
    </row>
    <row r="38" spans="1:13" x14ac:dyDescent="0.35">
      <c r="A38" s="8" t="s">
        <v>53</v>
      </c>
      <c r="B38" s="15">
        <v>2774</v>
      </c>
      <c r="C38" s="15">
        <v>3266</v>
      </c>
      <c r="D38" s="15">
        <v>3399</v>
      </c>
      <c r="E38" s="15">
        <v>4452</v>
      </c>
      <c r="F38" s="15">
        <v>5852</v>
      </c>
      <c r="G38" s="15">
        <v>7187</v>
      </c>
      <c r="H38" s="15">
        <v>7596</v>
      </c>
      <c r="I38" s="15"/>
      <c r="J38" s="15"/>
      <c r="K38" s="15"/>
      <c r="L38" s="15"/>
      <c r="M38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8B5D-2E82-4D55-8AD8-14338DCB016D}">
  <dimension ref="A1:N27"/>
  <sheetViews>
    <sheetView workbookViewId="0">
      <selection activeCell="I4" sqref="I4"/>
    </sheetView>
  </sheetViews>
  <sheetFormatPr defaultRowHeight="14.5" x14ac:dyDescent="0.35"/>
  <cols>
    <col min="1" max="1" width="29.90625" customWidth="1"/>
    <col min="2" max="4" width="8.90625" bestFit="1" customWidth="1"/>
    <col min="5" max="5" width="8.81640625" bestFit="1" customWidth="1"/>
    <col min="6" max="7" width="8.90625" bestFit="1" customWidth="1"/>
    <col min="8" max="8" width="8.81640625" bestFit="1" customWidth="1"/>
    <col min="9" max="14" width="8.90625" bestFit="1" customWidth="1"/>
  </cols>
  <sheetData>
    <row r="1" spans="1:14" x14ac:dyDescent="0.35">
      <c r="A1" s="1"/>
      <c r="B1" s="1">
        <v>43525</v>
      </c>
      <c r="C1" s="1">
        <v>43891</v>
      </c>
      <c r="D1" s="1">
        <v>44256</v>
      </c>
      <c r="E1" s="1">
        <v>44621</v>
      </c>
      <c r="F1" s="1">
        <v>44986</v>
      </c>
      <c r="G1" s="1">
        <v>45352</v>
      </c>
      <c r="H1" s="2">
        <v>45741</v>
      </c>
      <c r="I1" s="3" t="s">
        <v>0</v>
      </c>
      <c r="J1" s="1"/>
      <c r="K1" s="1"/>
      <c r="L1" s="1"/>
      <c r="M1" s="2"/>
      <c r="N1" s="3"/>
    </row>
    <row r="2" spans="1:14" x14ac:dyDescent="0.35">
      <c r="A2" s="4" t="s">
        <v>78</v>
      </c>
      <c r="B2" s="5">
        <v>7152</v>
      </c>
      <c r="C2" s="5">
        <v>7723</v>
      </c>
      <c r="D2" s="5">
        <v>8500</v>
      </c>
      <c r="E2" s="5">
        <v>13063</v>
      </c>
      <c r="F2" s="5">
        <v>16166</v>
      </c>
      <c r="G2" s="5">
        <v>18119</v>
      </c>
      <c r="H2" s="5">
        <v>20690</v>
      </c>
      <c r="I2" s="5">
        <v>20885</v>
      </c>
      <c r="J2" s="5"/>
      <c r="K2" s="5"/>
      <c r="L2" s="5"/>
      <c r="M2" s="5"/>
      <c r="N2" s="5"/>
    </row>
    <row r="3" spans="1:14" x14ac:dyDescent="0.35">
      <c r="A3" s="4" t="s">
        <v>1</v>
      </c>
      <c r="B3" s="6">
        <v>0.3407</v>
      </c>
      <c r="C3" s="6">
        <v>7.9799999999999996E-2</v>
      </c>
      <c r="D3" s="6">
        <v>0.10050000000000001</v>
      </c>
      <c r="E3" s="6">
        <v>0.53690000000000004</v>
      </c>
      <c r="F3" s="6">
        <v>0.23749999999999999</v>
      </c>
      <c r="G3" s="6">
        <v>0.1208</v>
      </c>
      <c r="H3" s="6">
        <v>0.1419</v>
      </c>
      <c r="I3" s="7"/>
      <c r="J3" s="6"/>
      <c r="K3" s="6"/>
      <c r="L3" s="6"/>
      <c r="M3" s="6"/>
      <c r="N3" s="7"/>
    </row>
    <row r="4" spans="1:14" x14ac:dyDescent="0.35">
      <c r="A4" s="8" t="s">
        <v>79</v>
      </c>
      <c r="B4" s="9">
        <v>6759</v>
      </c>
      <c r="C4" s="9">
        <v>7246</v>
      </c>
      <c r="D4" s="9">
        <v>7821</v>
      </c>
      <c r="E4" s="9">
        <v>12118</v>
      </c>
      <c r="F4" s="9">
        <v>15143</v>
      </c>
      <c r="G4" s="9">
        <v>16926</v>
      </c>
      <c r="H4" s="9">
        <v>19490</v>
      </c>
      <c r="I4" s="9">
        <v>19616</v>
      </c>
      <c r="J4" s="9"/>
      <c r="K4" s="9"/>
      <c r="L4" s="9"/>
      <c r="M4" s="9"/>
      <c r="N4" s="9"/>
    </row>
    <row r="5" spans="1:14" x14ac:dyDescent="0.35">
      <c r="A5" s="8" t="s">
        <v>80</v>
      </c>
      <c r="B5" s="10">
        <v>0.88</v>
      </c>
      <c r="C5" s="10">
        <v>0.85</v>
      </c>
      <c r="D5" s="10">
        <v>0.84</v>
      </c>
      <c r="E5" s="10">
        <v>0.86</v>
      </c>
      <c r="F5" s="10">
        <v>0.87</v>
      </c>
      <c r="G5" s="10">
        <v>0.86</v>
      </c>
      <c r="H5" s="10">
        <v>0.86</v>
      </c>
      <c r="I5" s="11"/>
      <c r="J5" s="10"/>
      <c r="K5" s="10"/>
      <c r="L5" s="10"/>
      <c r="M5" s="10"/>
      <c r="N5" s="11"/>
    </row>
    <row r="6" spans="1:14" x14ac:dyDescent="0.35">
      <c r="A6" s="8" t="s">
        <v>2</v>
      </c>
      <c r="B6" s="9">
        <v>6396</v>
      </c>
      <c r="C6" s="9">
        <v>6712</v>
      </c>
      <c r="D6" s="9">
        <v>7227</v>
      </c>
      <c r="E6" s="9">
        <v>11160</v>
      </c>
      <c r="F6" s="9">
        <v>14609</v>
      </c>
      <c r="G6" s="9">
        <v>15626</v>
      </c>
      <c r="H6" s="9">
        <v>17793</v>
      </c>
      <c r="I6" s="11"/>
      <c r="J6" s="9"/>
      <c r="K6" s="9"/>
      <c r="L6" s="9"/>
      <c r="M6" s="9"/>
      <c r="N6" s="11"/>
    </row>
    <row r="7" spans="1:14" x14ac:dyDescent="0.35">
      <c r="A7" s="8" t="s">
        <v>3</v>
      </c>
      <c r="B7" s="11">
        <v>-88</v>
      </c>
      <c r="C7" s="11">
        <v>-136</v>
      </c>
      <c r="D7" s="11">
        <v>-62</v>
      </c>
      <c r="E7" s="11">
        <v>63</v>
      </c>
      <c r="F7" s="11">
        <v>-582</v>
      </c>
      <c r="G7" s="11">
        <v>-9</v>
      </c>
      <c r="H7" s="11">
        <v>78</v>
      </c>
      <c r="I7" s="11"/>
      <c r="J7" s="11"/>
      <c r="K7" s="11"/>
      <c r="L7" s="11"/>
      <c r="M7" s="11"/>
      <c r="N7" s="11"/>
    </row>
    <row r="8" spans="1:14" x14ac:dyDescent="0.35">
      <c r="A8" s="8" t="s">
        <v>4</v>
      </c>
      <c r="B8" s="10">
        <v>0.02</v>
      </c>
      <c r="C8" s="10">
        <v>0.02</v>
      </c>
      <c r="D8" s="10">
        <v>0.02</v>
      </c>
      <c r="E8" s="10">
        <v>0.02</v>
      </c>
      <c r="F8" s="10">
        <v>0.02</v>
      </c>
      <c r="G8" s="10">
        <v>0.02</v>
      </c>
      <c r="H8" s="10">
        <v>0.02</v>
      </c>
      <c r="I8" s="11"/>
      <c r="J8" s="10"/>
      <c r="K8" s="10"/>
      <c r="L8" s="10"/>
      <c r="M8" s="10"/>
      <c r="N8" s="11"/>
    </row>
    <row r="9" spans="1:14" x14ac:dyDescent="0.35">
      <c r="A9" s="8" t="s">
        <v>5</v>
      </c>
      <c r="B9" s="10">
        <v>0.02</v>
      </c>
      <c r="C9" s="10">
        <v>0.02</v>
      </c>
      <c r="D9" s="10">
        <v>0.02</v>
      </c>
      <c r="E9" s="10">
        <v>0.01</v>
      </c>
      <c r="F9" s="10">
        <v>0.01</v>
      </c>
      <c r="G9" s="10">
        <v>0.01</v>
      </c>
      <c r="H9" s="10">
        <v>0.02</v>
      </c>
      <c r="I9" s="11"/>
      <c r="J9" s="10"/>
      <c r="K9" s="10"/>
      <c r="L9" s="10"/>
      <c r="M9" s="10"/>
      <c r="N9" s="11"/>
    </row>
    <row r="10" spans="1:14" x14ac:dyDescent="0.35">
      <c r="A10" s="8" t="s">
        <v>6</v>
      </c>
      <c r="B10" s="10">
        <v>0.03</v>
      </c>
      <c r="C10" s="10">
        <v>0.04</v>
      </c>
      <c r="D10" s="10">
        <v>0.04</v>
      </c>
      <c r="E10" s="10">
        <v>0.04</v>
      </c>
      <c r="F10" s="10">
        <v>0.04</v>
      </c>
      <c r="G10" s="10">
        <v>0.04</v>
      </c>
      <c r="H10" s="10">
        <v>0.04</v>
      </c>
      <c r="I10" s="11"/>
      <c r="J10" s="10"/>
      <c r="K10" s="10"/>
      <c r="L10" s="10"/>
      <c r="M10" s="10"/>
      <c r="N10" s="11"/>
    </row>
    <row r="11" spans="1:14" x14ac:dyDescent="0.35">
      <c r="A11" s="4" t="s">
        <v>7</v>
      </c>
      <c r="B11" s="7">
        <v>393</v>
      </c>
      <c r="C11" s="7">
        <v>478</v>
      </c>
      <c r="D11" s="7">
        <v>679</v>
      </c>
      <c r="E11" s="7">
        <v>946</v>
      </c>
      <c r="F11" s="5">
        <v>1022</v>
      </c>
      <c r="G11" s="5">
        <v>1193</v>
      </c>
      <c r="H11" s="5">
        <v>1199</v>
      </c>
      <c r="I11" s="5">
        <v>1269</v>
      </c>
      <c r="J11" s="7"/>
      <c r="K11" s="5"/>
      <c r="L11" s="5"/>
      <c r="M11" s="5"/>
      <c r="N11" s="5"/>
    </row>
    <row r="12" spans="1:14" x14ac:dyDescent="0.35">
      <c r="A12" s="8" t="s">
        <v>8</v>
      </c>
      <c r="B12" s="10">
        <v>0.05</v>
      </c>
      <c r="C12" s="10">
        <v>0.06</v>
      </c>
      <c r="D12" s="10">
        <v>0.08</v>
      </c>
      <c r="E12" s="10">
        <v>7.0000000000000007E-2</v>
      </c>
      <c r="F12" s="10">
        <v>0.06</v>
      </c>
      <c r="G12" s="10">
        <v>7.0000000000000007E-2</v>
      </c>
      <c r="H12" s="10">
        <v>0.06</v>
      </c>
      <c r="I12" s="10">
        <v>0.06</v>
      </c>
      <c r="J12" s="10"/>
      <c r="K12" s="10"/>
      <c r="L12" s="10"/>
      <c r="M12" s="10"/>
      <c r="N12" s="10"/>
    </row>
    <row r="13" spans="1:14" x14ac:dyDescent="0.35">
      <c r="A13" s="4" t="s">
        <v>81</v>
      </c>
      <c r="B13" s="7">
        <v>12</v>
      </c>
      <c r="C13" s="7">
        <v>22</v>
      </c>
      <c r="D13" s="7">
        <v>36</v>
      </c>
      <c r="E13" s="7">
        <v>40</v>
      </c>
      <c r="F13" s="7">
        <v>46</v>
      </c>
      <c r="G13" s="7">
        <v>74</v>
      </c>
      <c r="H13" s="7">
        <v>96</v>
      </c>
      <c r="I13" s="7">
        <v>97</v>
      </c>
      <c r="J13" s="7"/>
      <c r="K13" s="7"/>
      <c r="L13" s="7"/>
      <c r="M13" s="7"/>
      <c r="N13" s="7"/>
    </row>
    <row r="14" spans="1:14" x14ac:dyDescent="0.35">
      <c r="A14" s="4" t="s">
        <v>9</v>
      </c>
      <c r="B14" s="7">
        <v>0</v>
      </c>
      <c r="C14" s="7">
        <v>1</v>
      </c>
      <c r="D14" s="7">
        <v>0</v>
      </c>
      <c r="E14" s="7">
        <v>0</v>
      </c>
      <c r="F14" s="7">
        <v>-1</v>
      </c>
      <c r="G14" s="7">
        <v>5</v>
      </c>
      <c r="H14" s="7">
        <v>21</v>
      </c>
      <c r="I14" s="7"/>
      <c r="J14" s="7"/>
      <c r="K14" s="7"/>
      <c r="L14" s="7"/>
      <c r="M14" s="7"/>
      <c r="N14" s="7"/>
    </row>
    <row r="15" spans="1:14" x14ac:dyDescent="0.35">
      <c r="A15" s="4" t="s">
        <v>10</v>
      </c>
      <c r="B15" s="7">
        <v>12</v>
      </c>
      <c r="C15" s="7">
        <v>20</v>
      </c>
      <c r="D15" s="7">
        <v>36</v>
      </c>
      <c r="E15" s="7">
        <v>40</v>
      </c>
      <c r="F15" s="7">
        <v>47</v>
      </c>
      <c r="G15" s="7">
        <v>69</v>
      </c>
      <c r="H15" s="7">
        <v>74</v>
      </c>
      <c r="I15" s="7"/>
      <c r="J15" s="7"/>
      <c r="K15" s="7"/>
      <c r="L15" s="7"/>
      <c r="M15" s="7"/>
      <c r="N15" s="7"/>
    </row>
    <row r="16" spans="1:14" x14ac:dyDescent="0.35">
      <c r="A16" s="8" t="s">
        <v>11</v>
      </c>
      <c r="B16" s="11">
        <v>113</v>
      </c>
      <c r="C16" s="11">
        <v>107</v>
      </c>
      <c r="D16" s="11">
        <v>66</v>
      </c>
      <c r="E16" s="11">
        <v>44</v>
      </c>
      <c r="F16" s="11">
        <v>67</v>
      </c>
      <c r="G16" s="11">
        <v>113</v>
      </c>
      <c r="H16" s="11">
        <v>133</v>
      </c>
      <c r="I16" s="11">
        <v>139</v>
      </c>
      <c r="J16" s="11"/>
      <c r="K16" s="11"/>
      <c r="L16" s="11"/>
      <c r="M16" s="11"/>
      <c r="N16" s="11"/>
    </row>
    <row r="17" spans="1:14" x14ac:dyDescent="0.35">
      <c r="A17" s="4" t="s">
        <v>12</v>
      </c>
      <c r="B17" s="7">
        <v>64</v>
      </c>
      <c r="C17" s="7">
        <v>96</v>
      </c>
      <c r="D17" s="7">
        <v>103</v>
      </c>
      <c r="E17" s="7">
        <v>109</v>
      </c>
      <c r="F17" s="7">
        <v>138</v>
      </c>
      <c r="G17" s="7">
        <v>176</v>
      </c>
      <c r="H17" s="7">
        <v>201</v>
      </c>
      <c r="I17" s="7">
        <v>209</v>
      </c>
      <c r="J17" s="7"/>
      <c r="K17" s="7"/>
      <c r="L17" s="7"/>
      <c r="M17" s="7"/>
      <c r="N17" s="7"/>
    </row>
    <row r="18" spans="1:14" x14ac:dyDescent="0.35">
      <c r="A18" s="8" t="s">
        <v>13</v>
      </c>
      <c r="B18" s="11">
        <v>227</v>
      </c>
      <c r="C18" s="11">
        <v>296</v>
      </c>
      <c r="D18" s="11">
        <v>546</v>
      </c>
      <c r="E18" s="11">
        <v>832</v>
      </c>
      <c r="F18" s="11">
        <v>863</v>
      </c>
      <c r="G18" s="11">
        <v>978</v>
      </c>
      <c r="H18" s="11">
        <v>960</v>
      </c>
      <c r="I18" s="9">
        <v>1018</v>
      </c>
      <c r="J18" s="11"/>
      <c r="K18" s="11"/>
      <c r="L18" s="11"/>
      <c r="M18" s="11"/>
      <c r="N18" s="9"/>
    </row>
    <row r="19" spans="1:14" x14ac:dyDescent="0.35">
      <c r="A19" s="4" t="s">
        <v>14</v>
      </c>
      <c r="B19" s="12">
        <v>0.35</v>
      </c>
      <c r="C19" s="12">
        <v>0.14000000000000001</v>
      </c>
      <c r="D19" s="12">
        <v>0.25</v>
      </c>
      <c r="E19" s="12">
        <v>0.26</v>
      </c>
      <c r="F19" s="12">
        <v>0.26</v>
      </c>
      <c r="G19" s="12">
        <v>0.25</v>
      </c>
      <c r="H19" s="12">
        <v>0.21</v>
      </c>
      <c r="I19" s="7"/>
      <c r="J19" s="12"/>
      <c r="K19" s="12"/>
      <c r="L19" s="12"/>
      <c r="M19" s="12"/>
      <c r="N19" s="7"/>
    </row>
    <row r="20" spans="1:14" x14ac:dyDescent="0.35">
      <c r="A20" s="8" t="s">
        <v>82</v>
      </c>
      <c r="B20" s="11">
        <v>148</v>
      </c>
      <c r="C20" s="11">
        <v>256</v>
      </c>
      <c r="D20" s="11">
        <v>408</v>
      </c>
      <c r="E20" s="11">
        <v>619</v>
      </c>
      <c r="F20" s="11">
        <v>642</v>
      </c>
      <c r="G20" s="11">
        <v>732</v>
      </c>
      <c r="H20" s="11">
        <v>757</v>
      </c>
      <c r="I20" s="11">
        <v>801</v>
      </c>
      <c r="J20" s="11"/>
      <c r="K20" s="11"/>
      <c r="L20" s="11"/>
      <c r="M20" s="11"/>
      <c r="N20" s="11"/>
    </row>
    <row r="21" spans="1:14" x14ac:dyDescent="0.35">
      <c r="A21" s="8" t="s">
        <v>15</v>
      </c>
      <c r="B21" s="11">
        <v>0</v>
      </c>
      <c r="C21" s="11">
        <v>-18</v>
      </c>
      <c r="D21" s="11">
        <v>-48</v>
      </c>
      <c r="E21" s="11">
        <v>0</v>
      </c>
      <c r="F21" s="11">
        <v>0</v>
      </c>
      <c r="G21" s="11">
        <v>0</v>
      </c>
      <c r="H21" s="11">
        <v>0</v>
      </c>
      <c r="I21" s="11"/>
      <c r="J21" s="11"/>
      <c r="K21" s="11"/>
      <c r="L21" s="11"/>
      <c r="M21" s="11"/>
      <c r="N21" s="11"/>
    </row>
    <row r="22" spans="1:14" x14ac:dyDescent="0.35">
      <c r="A22" s="8" t="s">
        <v>16</v>
      </c>
      <c r="B22" s="11">
        <v>0</v>
      </c>
      <c r="C22" s="11">
        <v>1</v>
      </c>
      <c r="D22" s="11">
        <v>0</v>
      </c>
      <c r="E22" s="11">
        <v>0</v>
      </c>
      <c r="F22" s="11">
        <v>-1</v>
      </c>
      <c r="G22" s="11">
        <v>4</v>
      </c>
      <c r="H22" s="11">
        <v>17</v>
      </c>
      <c r="I22" s="11"/>
      <c r="J22" s="11"/>
      <c r="K22" s="11"/>
      <c r="L22" s="11"/>
      <c r="M22" s="11"/>
      <c r="N22" s="11"/>
    </row>
    <row r="23" spans="1:14" x14ac:dyDescent="0.35">
      <c r="A23" s="8" t="s">
        <v>17</v>
      </c>
      <c r="B23" s="11">
        <v>148</v>
      </c>
      <c r="C23" s="11">
        <v>255</v>
      </c>
      <c r="D23" s="11">
        <v>408</v>
      </c>
      <c r="E23" s="11">
        <v>619</v>
      </c>
      <c r="F23" s="11">
        <v>643</v>
      </c>
      <c r="G23" s="11">
        <v>729</v>
      </c>
      <c r="H23" s="11">
        <v>740</v>
      </c>
      <c r="I23" s="11"/>
      <c r="J23" s="11"/>
      <c r="K23" s="11"/>
      <c r="L23" s="11"/>
      <c r="M23" s="11"/>
      <c r="N23" s="11"/>
    </row>
    <row r="24" spans="1:14" x14ac:dyDescent="0.35">
      <c r="A24" s="8" t="s">
        <v>18</v>
      </c>
      <c r="B24" s="11">
        <v>148</v>
      </c>
      <c r="C24" s="11">
        <v>237</v>
      </c>
      <c r="D24" s="11">
        <v>360</v>
      </c>
      <c r="E24" s="11">
        <v>619</v>
      </c>
      <c r="F24" s="11">
        <v>643</v>
      </c>
      <c r="G24" s="11">
        <v>729</v>
      </c>
      <c r="H24" s="11">
        <v>740</v>
      </c>
      <c r="I24" s="11"/>
      <c r="J24" s="11"/>
      <c r="K24" s="11"/>
      <c r="L24" s="11"/>
      <c r="M24" s="11"/>
      <c r="N24" s="11"/>
    </row>
    <row r="25" spans="1:14" x14ac:dyDescent="0.35">
      <c r="A25" s="8" t="s">
        <v>19</v>
      </c>
      <c r="B25" s="11">
        <v>148</v>
      </c>
      <c r="C25" s="11">
        <v>238</v>
      </c>
      <c r="D25" s="11">
        <v>360</v>
      </c>
      <c r="E25" s="11">
        <v>619</v>
      </c>
      <c r="F25" s="11">
        <v>642</v>
      </c>
      <c r="G25" s="11">
        <v>732</v>
      </c>
      <c r="H25" s="11">
        <v>757</v>
      </c>
      <c r="I25" s="11"/>
      <c r="J25" s="11"/>
      <c r="K25" s="11"/>
      <c r="L25" s="11"/>
      <c r="M25" s="11"/>
      <c r="N25" s="11"/>
    </row>
    <row r="26" spans="1:14" x14ac:dyDescent="0.35">
      <c r="A26" s="4" t="s">
        <v>20</v>
      </c>
      <c r="B26" s="7">
        <v>6.22</v>
      </c>
      <c r="C26" s="7">
        <v>9.58</v>
      </c>
      <c r="D26" s="7">
        <v>14.42</v>
      </c>
      <c r="E26" s="7">
        <v>24.73</v>
      </c>
      <c r="F26" s="7">
        <v>23.14</v>
      </c>
      <c r="G26" s="7">
        <v>26.39</v>
      </c>
      <c r="H26" s="7">
        <v>27.28</v>
      </c>
      <c r="I26" s="7">
        <v>28.87</v>
      </c>
      <c r="J26" s="7"/>
      <c r="K26" s="7"/>
      <c r="L26" s="7"/>
      <c r="M26" s="7"/>
      <c r="N26" s="7"/>
    </row>
    <row r="27" spans="1:14" x14ac:dyDescent="0.35">
      <c r="A27" s="8" t="s">
        <v>21</v>
      </c>
      <c r="B27" s="10">
        <v>0.23</v>
      </c>
      <c r="C27" s="10">
        <v>0</v>
      </c>
      <c r="D27" s="10">
        <v>0</v>
      </c>
      <c r="E27" s="10">
        <v>0.14000000000000001</v>
      </c>
      <c r="F27" s="10">
        <v>0.22</v>
      </c>
      <c r="G27" s="10">
        <v>0.21</v>
      </c>
      <c r="H27" s="10">
        <v>0.21</v>
      </c>
      <c r="I27" s="11"/>
      <c r="J27" s="10"/>
      <c r="K27" s="10"/>
      <c r="L27" s="10"/>
      <c r="M27" s="10"/>
      <c r="N2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71EB-13B1-4412-AE5D-0C989EC49DD6}">
  <dimension ref="A1:M28"/>
  <sheetViews>
    <sheetView topLeftCell="A7" workbookViewId="0">
      <selection activeCell="B25" sqref="B25"/>
    </sheetView>
  </sheetViews>
  <sheetFormatPr defaultRowHeight="14.5" x14ac:dyDescent="0.35"/>
  <cols>
    <col min="1" max="1" width="31.90625" bestFit="1" customWidth="1"/>
    <col min="8" max="8" width="10.6328125" customWidth="1"/>
  </cols>
  <sheetData>
    <row r="1" spans="1:13" x14ac:dyDescent="0.35">
      <c r="A1" s="19"/>
      <c r="B1" s="19">
        <v>43525</v>
      </c>
      <c r="C1" s="19">
        <v>43891</v>
      </c>
      <c r="D1" s="19">
        <v>44256</v>
      </c>
      <c r="E1" s="19">
        <v>44621</v>
      </c>
      <c r="F1" s="19">
        <v>44986</v>
      </c>
      <c r="G1" s="19">
        <v>45352</v>
      </c>
      <c r="H1" s="22">
        <v>45741</v>
      </c>
      <c r="I1" s="26"/>
      <c r="J1" s="26"/>
      <c r="K1" s="26"/>
      <c r="L1" s="26"/>
      <c r="M1" s="27"/>
    </row>
    <row r="2" spans="1:13" x14ac:dyDescent="0.35">
      <c r="A2" s="4" t="s">
        <v>88</v>
      </c>
      <c r="B2" s="13">
        <v>358</v>
      </c>
      <c r="C2" s="13">
        <v>510</v>
      </c>
      <c r="D2" s="13">
        <v>977</v>
      </c>
      <c r="E2" s="13">
        <v>652</v>
      </c>
      <c r="F2" s="13">
        <v>691</v>
      </c>
      <c r="G2" s="18">
        <v>1112</v>
      </c>
      <c r="H2" s="23">
        <v>1213</v>
      </c>
      <c r="I2" s="28"/>
      <c r="J2" s="28"/>
      <c r="K2" s="28"/>
      <c r="L2" s="29"/>
      <c r="M2" s="29"/>
    </row>
    <row r="3" spans="1:13" x14ac:dyDescent="0.35">
      <c r="A3" s="16" t="s">
        <v>54</v>
      </c>
      <c r="B3" s="13">
        <v>396</v>
      </c>
      <c r="C3" s="13">
        <v>489</v>
      </c>
      <c r="D3" s="13">
        <v>685</v>
      </c>
      <c r="E3" s="13">
        <v>966</v>
      </c>
      <c r="F3" s="18">
        <v>1055</v>
      </c>
      <c r="G3" s="18">
        <v>1205</v>
      </c>
      <c r="H3" s="23">
        <v>1228</v>
      </c>
      <c r="I3" s="28"/>
      <c r="J3" s="28"/>
      <c r="K3" s="29"/>
      <c r="L3" s="29"/>
      <c r="M3" s="29"/>
    </row>
    <row r="4" spans="1:13" x14ac:dyDescent="0.35">
      <c r="A4" s="16" t="s">
        <v>55</v>
      </c>
      <c r="B4" s="13">
        <v>-112</v>
      </c>
      <c r="C4" s="13">
        <v>85</v>
      </c>
      <c r="D4" s="13">
        <v>347</v>
      </c>
      <c r="E4" s="13">
        <v>-211</v>
      </c>
      <c r="F4" s="13">
        <v>199</v>
      </c>
      <c r="G4" s="13">
        <v>-64</v>
      </c>
      <c r="H4" s="24">
        <v>-29</v>
      </c>
      <c r="I4" s="28"/>
      <c r="J4" s="28"/>
      <c r="K4" s="28"/>
      <c r="L4" s="28"/>
      <c r="M4" s="28"/>
    </row>
    <row r="5" spans="1:13" x14ac:dyDescent="0.35">
      <c r="A5" s="16" t="s">
        <v>56</v>
      </c>
      <c r="B5" s="13">
        <v>-192</v>
      </c>
      <c r="C5" s="13">
        <v>28</v>
      </c>
      <c r="D5" s="13">
        <v>23</v>
      </c>
      <c r="E5" s="13">
        <v>-89</v>
      </c>
      <c r="F5" s="13">
        <v>-634</v>
      </c>
      <c r="G5" s="13">
        <v>-160</v>
      </c>
      <c r="H5" s="24">
        <v>-120</v>
      </c>
      <c r="I5" s="28"/>
      <c r="J5" s="28"/>
      <c r="K5" s="28"/>
      <c r="L5" s="28"/>
      <c r="M5" s="28"/>
    </row>
    <row r="6" spans="1:13" x14ac:dyDescent="0.35">
      <c r="A6" s="16" t="s">
        <v>57</v>
      </c>
      <c r="B6" s="13">
        <v>324</v>
      </c>
      <c r="C6" s="13">
        <v>26</v>
      </c>
      <c r="D6" s="13">
        <v>21</v>
      </c>
      <c r="E6" s="13">
        <v>274</v>
      </c>
      <c r="F6" s="13">
        <v>538</v>
      </c>
      <c r="G6" s="13">
        <v>385</v>
      </c>
      <c r="H6" s="24">
        <v>250</v>
      </c>
      <c r="I6" s="28"/>
      <c r="J6" s="28"/>
      <c r="K6" s="28"/>
      <c r="L6" s="28"/>
      <c r="M6" s="28"/>
    </row>
    <row r="7" spans="1:13" x14ac:dyDescent="0.35">
      <c r="A7" s="16" t="s">
        <v>58</v>
      </c>
      <c r="B7" s="13">
        <v>-3</v>
      </c>
      <c r="C7" s="13">
        <v>5</v>
      </c>
      <c r="D7" s="13">
        <v>0</v>
      </c>
      <c r="E7" s="13">
        <v>-3</v>
      </c>
      <c r="F7" s="13">
        <v>-275</v>
      </c>
      <c r="G7" s="13">
        <v>-61</v>
      </c>
      <c r="H7" s="24">
        <v>-8</v>
      </c>
      <c r="I7" s="28"/>
      <c r="J7" s="28"/>
      <c r="K7" s="28"/>
      <c r="L7" s="28"/>
      <c r="M7" s="28"/>
    </row>
    <row r="8" spans="1:13" x14ac:dyDescent="0.35">
      <c r="A8" s="16" t="s">
        <v>59</v>
      </c>
      <c r="B8" s="13">
        <v>12</v>
      </c>
      <c r="C8" s="13">
        <v>-42</v>
      </c>
      <c r="D8" s="13">
        <v>20</v>
      </c>
      <c r="E8" s="13">
        <v>-86</v>
      </c>
      <c r="F8" s="13">
        <v>25</v>
      </c>
      <c r="G8" s="13">
        <v>23</v>
      </c>
      <c r="H8" s="24">
        <v>81</v>
      </c>
      <c r="I8" s="28"/>
      <c r="J8" s="28"/>
      <c r="K8" s="28"/>
      <c r="L8" s="28"/>
      <c r="M8" s="28"/>
    </row>
    <row r="9" spans="1:13" x14ac:dyDescent="0.35">
      <c r="A9" s="16" t="s">
        <v>60</v>
      </c>
      <c r="B9" s="13">
        <v>29</v>
      </c>
      <c r="C9" s="13">
        <v>102</v>
      </c>
      <c r="D9" s="13">
        <v>412</v>
      </c>
      <c r="E9" s="13">
        <v>-115</v>
      </c>
      <c r="F9" s="13">
        <v>-147</v>
      </c>
      <c r="G9" s="13">
        <v>124</v>
      </c>
      <c r="H9" s="24">
        <v>173</v>
      </c>
      <c r="I9" s="28"/>
      <c r="J9" s="28"/>
      <c r="K9" s="28"/>
      <c r="L9" s="28"/>
      <c r="M9" s="28"/>
    </row>
    <row r="10" spans="1:13" x14ac:dyDescent="0.35">
      <c r="A10" s="16" t="s">
        <v>61</v>
      </c>
      <c r="B10" s="13">
        <v>-67</v>
      </c>
      <c r="C10" s="13">
        <v>-82</v>
      </c>
      <c r="D10" s="13">
        <v>-119</v>
      </c>
      <c r="E10" s="13">
        <v>-199</v>
      </c>
      <c r="F10" s="13">
        <v>-216</v>
      </c>
      <c r="G10" s="13">
        <v>-218</v>
      </c>
      <c r="H10" s="24">
        <v>-188</v>
      </c>
      <c r="I10" s="28"/>
      <c r="J10" s="28"/>
      <c r="K10" s="28"/>
      <c r="L10" s="28"/>
      <c r="M10" s="28"/>
    </row>
    <row r="11" spans="1:13" x14ac:dyDescent="0.35">
      <c r="A11" s="8" t="s">
        <v>89</v>
      </c>
      <c r="B11" s="14">
        <v>-264</v>
      </c>
      <c r="C11" s="14">
        <v>-435</v>
      </c>
      <c r="D11" s="14">
        <v>-647</v>
      </c>
      <c r="E11" s="14">
        <v>-530</v>
      </c>
      <c r="F11" s="14">
        <v>-876</v>
      </c>
      <c r="G11" s="14">
        <v>-916</v>
      </c>
      <c r="H11" s="25">
        <v>-375</v>
      </c>
      <c r="I11" s="30"/>
      <c r="J11" s="30"/>
      <c r="K11" s="30"/>
      <c r="L11" s="30"/>
      <c r="M11" s="30"/>
    </row>
    <row r="12" spans="1:13" x14ac:dyDescent="0.35">
      <c r="A12" s="17" t="s">
        <v>62</v>
      </c>
      <c r="B12" s="14" t="s">
        <v>115</v>
      </c>
      <c r="C12" s="14">
        <v>-309</v>
      </c>
      <c r="D12" s="14">
        <v>-287</v>
      </c>
      <c r="E12" s="14">
        <v>-597</v>
      </c>
      <c r="F12" s="14">
        <v>-862</v>
      </c>
      <c r="G12" s="14">
        <v>-695</v>
      </c>
      <c r="H12" s="25">
        <v>-722</v>
      </c>
      <c r="I12" s="30"/>
      <c r="J12" s="30"/>
      <c r="K12" s="30"/>
      <c r="L12" s="30"/>
      <c r="M12" s="30"/>
    </row>
    <row r="13" spans="1:13" x14ac:dyDescent="0.35">
      <c r="A13" s="17" t="s">
        <v>63</v>
      </c>
      <c r="B13" s="14">
        <v>11</v>
      </c>
      <c r="C13" s="14">
        <v>8</v>
      </c>
      <c r="D13" s="14">
        <v>7</v>
      </c>
      <c r="E13" s="14">
        <v>10</v>
      </c>
      <c r="F13" s="14">
        <v>20</v>
      </c>
      <c r="G13" s="14">
        <v>33</v>
      </c>
      <c r="H13" s="25">
        <v>71</v>
      </c>
      <c r="I13" s="30"/>
      <c r="J13" s="30"/>
      <c r="K13" s="30"/>
      <c r="L13" s="30"/>
      <c r="M13" s="30"/>
    </row>
    <row r="14" spans="1:13" x14ac:dyDescent="0.35">
      <c r="A14" s="17" t="s">
        <v>64</v>
      </c>
      <c r="B14" s="14">
        <v>-39</v>
      </c>
      <c r="C14" s="14">
        <v>0</v>
      </c>
      <c r="D14" s="14">
        <v>0</v>
      </c>
      <c r="E14" s="14">
        <v>-87</v>
      </c>
      <c r="F14" s="14">
        <v>-27</v>
      </c>
      <c r="G14" s="14">
        <v>-5</v>
      </c>
      <c r="H14" s="25">
        <v>-36</v>
      </c>
      <c r="I14" s="30"/>
      <c r="J14" s="30"/>
      <c r="K14" s="30"/>
      <c r="L14" s="30"/>
      <c r="M14" s="30"/>
    </row>
    <row r="15" spans="1:13" x14ac:dyDescent="0.35">
      <c r="A15" s="17" t="s">
        <v>65</v>
      </c>
      <c r="B15" s="14">
        <v>0</v>
      </c>
      <c r="C15" s="14">
        <v>0</v>
      </c>
      <c r="D15" s="14">
        <v>0</v>
      </c>
      <c r="E15" s="14">
        <v>0</v>
      </c>
      <c r="F15" s="14">
        <v>5</v>
      </c>
      <c r="G15" s="14">
        <v>1</v>
      </c>
      <c r="H15" s="25">
        <v>0</v>
      </c>
      <c r="I15" s="30"/>
      <c r="J15" s="30"/>
      <c r="K15" s="30"/>
      <c r="L15" s="30"/>
      <c r="M15" s="30"/>
    </row>
    <row r="16" spans="1:13" x14ac:dyDescent="0.35">
      <c r="A16" s="17" t="s">
        <v>66</v>
      </c>
      <c r="B16" s="14">
        <v>1</v>
      </c>
      <c r="C16" s="14">
        <v>4</v>
      </c>
      <c r="D16" s="14">
        <v>20</v>
      </c>
      <c r="E16" s="14">
        <v>15</v>
      </c>
      <c r="F16" s="14">
        <v>1</v>
      </c>
      <c r="G16" s="14">
        <v>39</v>
      </c>
      <c r="H16" s="25">
        <v>66</v>
      </c>
      <c r="I16" s="30"/>
      <c r="J16" s="30"/>
      <c r="K16" s="30"/>
      <c r="L16" s="30"/>
      <c r="M16" s="30"/>
    </row>
    <row r="17" spans="1:13" x14ac:dyDescent="0.35">
      <c r="A17" s="17" t="s">
        <v>67</v>
      </c>
      <c r="B17" s="14">
        <v>0</v>
      </c>
      <c r="C17" s="14">
        <v>-142</v>
      </c>
      <c r="D17" s="14">
        <v>0</v>
      </c>
      <c r="E17" s="14">
        <v>0</v>
      </c>
      <c r="F17" s="14">
        <v>0</v>
      </c>
      <c r="G17" s="14">
        <v>0</v>
      </c>
      <c r="H17" s="25">
        <v>0</v>
      </c>
      <c r="I17" s="30"/>
      <c r="J17" s="30"/>
      <c r="K17" s="30"/>
      <c r="L17" s="30"/>
      <c r="M17" s="30"/>
    </row>
    <row r="18" spans="1:13" x14ac:dyDescent="0.35">
      <c r="A18" s="17" t="s">
        <v>68</v>
      </c>
      <c r="B18" s="14">
        <v>0</v>
      </c>
      <c r="C18" s="14">
        <v>0</v>
      </c>
      <c r="D18" s="14">
        <v>-46</v>
      </c>
      <c r="E18" s="14">
        <v>0</v>
      </c>
      <c r="F18" s="14">
        <v>0</v>
      </c>
      <c r="G18" s="14">
        <v>0</v>
      </c>
      <c r="H18" s="25">
        <v>0</v>
      </c>
      <c r="I18" s="30"/>
      <c r="J18" s="30"/>
      <c r="K18" s="30"/>
      <c r="L18" s="30"/>
      <c r="M18" s="30"/>
    </row>
    <row r="19" spans="1:13" x14ac:dyDescent="0.35">
      <c r="A19" s="17" t="s">
        <v>69</v>
      </c>
      <c r="B19" s="14">
        <v>0</v>
      </c>
      <c r="C19" s="14">
        <v>5</v>
      </c>
      <c r="D19" s="14">
        <v>-341</v>
      </c>
      <c r="E19" s="14">
        <v>129</v>
      </c>
      <c r="F19" s="14">
        <v>-12</v>
      </c>
      <c r="G19" s="14">
        <v>-289</v>
      </c>
      <c r="H19" s="25">
        <v>247</v>
      </c>
      <c r="I19" s="30"/>
      <c r="J19" s="30"/>
      <c r="K19" s="30"/>
      <c r="L19" s="30"/>
      <c r="M19" s="30"/>
    </row>
    <row r="20" spans="1:13" x14ac:dyDescent="0.35">
      <c r="A20" s="4" t="s">
        <v>90</v>
      </c>
      <c r="B20" s="13">
        <v>-53</v>
      </c>
      <c r="C20" s="13">
        <v>-78</v>
      </c>
      <c r="D20" s="13">
        <v>-359</v>
      </c>
      <c r="E20" s="13">
        <v>26</v>
      </c>
      <c r="F20" s="13">
        <v>143</v>
      </c>
      <c r="G20" s="13">
        <v>27</v>
      </c>
      <c r="H20" s="24">
        <v>-815</v>
      </c>
      <c r="I20" s="28"/>
      <c r="J20" s="28"/>
      <c r="K20" s="28"/>
      <c r="L20" s="28"/>
      <c r="M20" s="28"/>
    </row>
    <row r="21" spans="1:13" x14ac:dyDescent="0.35">
      <c r="A21" s="16" t="s">
        <v>70</v>
      </c>
      <c r="B21" s="13">
        <v>6</v>
      </c>
      <c r="C21" s="13">
        <v>177</v>
      </c>
      <c r="D21" s="13">
        <v>15</v>
      </c>
      <c r="E21" s="13">
        <v>7</v>
      </c>
      <c r="F21" s="13">
        <v>3</v>
      </c>
      <c r="G21" s="13">
        <v>3</v>
      </c>
      <c r="H21" s="24">
        <v>0</v>
      </c>
      <c r="I21" s="28"/>
      <c r="J21" s="28"/>
      <c r="K21" s="28"/>
      <c r="L21" s="28"/>
      <c r="M21" s="28"/>
    </row>
    <row r="22" spans="1:13" x14ac:dyDescent="0.35">
      <c r="A22" s="16" t="s">
        <v>71</v>
      </c>
      <c r="B22" s="13">
        <v>306</v>
      </c>
      <c r="C22" s="13">
        <v>383</v>
      </c>
      <c r="D22" s="13">
        <v>141</v>
      </c>
      <c r="E22" s="13">
        <v>239</v>
      </c>
      <c r="F22" s="13">
        <v>355</v>
      </c>
      <c r="G22" s="13">
        <v>546</v>
      </c>
      <c r="H22" s="23">
        <v>1152</v>
      </c>
      <c r="I22" s="28"/>
      <c r="J22" s="28"/>
      <c r="K22" s="28"/>
      <c r="L22" s="28"/>
      <c r="M22" s="29"/>
    </row>
    <row r="23" spans="1:13" x14ac:dyDescent="0.35">
      <c r="A23" s="16" t="s">
        <v>72</v>
      </c>
      <c r="B23" s="13">
        <v>-223</v>
      </c>
      <c r="C23" s="13">
        <v>-478</v>
      </c>
      <c r="D23" s="13">
        <v>-452</v>
      </c>
      <c r="E23" s="13">
        <v>-178</v>
      </c>
      <c r="F23" s="13">
        <v>-65</v>
      </c>
      <c r="G23" s="13">
        <v>-288</v>
      </c>
      <c r="H23" s="23">
        <v>-1666</v>
      </c>
      <c r="I23" s="28"/>
      <c r="J23" s="28"/>
      <c r="K23" s="28"/>
      <c r="L23" s="28"/>
      <c r="M23" s="29"/>
    </row>
    <row r="24" spans="1:13" x14ac:dyDescent="0.35">
      <c r="A24" s="16" t="s">
        <v>73</v>
      </c>
      <c r="B24" s="13">
        <v>-101</v>
      </c>
      <c r="C24" s="13">
        <v>-119</v>
      </c>
      <c r="D24" s="13">
        <v>-62</v>
      </c>
      <c r="E24" s="13">
        <v>-41</v>
      </c>
      <c r="F24" s="13">
        <v>-61</v>
      </c>
      <c r="G24" s="13">
        <v>-94</v>
      </c>
      <c r="H24" s="24">
        <v>-147</v>
      </c>
      <c r="I24" s="28"/>
      <c r="J24" s="28"/>
      <c r="K24" s="28"/>
      <c r="L24" s="28"/>
      <c r="M24" s="28"/>
    </row>
    <row r="25" spans="1:13" x14ac:dyDescent="0.35">
      <c r="A25" s="16" t="s">
        <v>74</v>
      </c>
      <c r="B25" s="13">
        <v>-33</v>
      </c>
      <c r="C25" s="13">
        <v>-34</v>
      </c>
      <c r="D25" s="13">
        <v>0</v>
      </c>
      <c r="E25" s="13">
        <v>0</v>
      </c>
      <c r="F25" s="13">
        <v>-88</v>
      </c>
      <c r="G25" s="13">
        <v>-139</v>
      </c>
      <c r="H25" s="24">
        <v>-153</v>
      </c>
      <c r="I25" s="28"/>
      <c r="J25" s="28"/>
      <c r="K25" s="28"/>
      <c r="L25" s="28"/>
      <c r="M25" s="28"/>
    </row>
    <row r="26" spans="1:13" x14ac:dyDescent="0.35">
      <c r="A26" s="16" t="s">
        <v>75</v>
      </c>
      <c r="B26" s="13">
        <v>0</v>
      </c>
      <c r="C26" s="13">
        <v>-1</v>
      </c>
      <c r="D26" s="13">
        <v>-1</v>
      </c>
      <c r="E26" s="13">
        <v>-1</v>
      </c>
      <c r="F26" s="13">
        <v>-1</v>
      </c>
      <c r="G26" s="13">
        <v>-2</v>
      </c>
      <c r="H26" s="24">
        <v>-2</v>
      </c>
      <c r="I26" s="28"/>
      <c r="J26" s="28"/>
      <c r="K26" s="28"/>
      <c r="L26" s="28"/>
      <c r="M26" s="28"/>
    </row>
    <row r="27" spans="1:13" x14ac:dyDescent="0.35">
      <c r="A27" s="16" t="s">
        <v>76</v>
      </c>
      <c r="B27" s="13">
        <v>-7</v>
      </c>
      <c r="C27" s="13">
        <v>-7</v>
      </c>
      <c r="D27" s="13">
        <v>0</v>
      </c>
      <c r="E27" s="13">
        <v>0</v>
      </c>
      <c r="F27" s="13">
        <v>0</v>
      </c>
      <c r="G27" s="13">
        <v>0</v>
      </c>
      <c r="H27" s="24">
        <v>0</v>
      </c>
      <c r="I27" s="28"/>
      <c r="J27" s="28"/>
      <c r="K27" s="28"/>
      <c r="L27" s="28"/>
      <c r="M27" s="28"/>
    </row>
    <row r="28" spans="1:13" x14ac:dyDescent="0.35">
      <c r="A28" s="8" t="s">
        <v>77</v>
      </c>
      <c r="B28" s="14">
        <v>41</v>
      </c>
      <c r="C28" s="14">
        <v>-3</v>
      </c>
      <c r="D28" s="14">
        <v>-28</v>
      </c>
      <c r="E28" s="14">
        <v>148</v>
      </c>
      <c r="F28" s="14">
        <v>-41</v>
      </c>
      <c r="G28" s="14">
        <v>222</v>
      </c>
      <c r="H28" s="25">
        <v>24</v>
      </c>
      <c r="I28" s="30"/>
      <c r="J28" s="30"/>
      <c r="K28" s="30"/>
      <c r="L28" s="30"/>
      <c r="M28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688A-729C-4157-A204-3865DC3B6B53}">
  <dimension ref="A1:U19"/>
  <sheetViews>
    <sheetView workbookViewId="0">
      <selection activeCell="D10" sqref="D10"/>
    </sheetView>
  </sheetViews>
  <sheetFormatPr defaultRowHeight="14.5" x14ac:dyDescent="0.35"/>
  <cols>
    <col min="1" max="1" width="24" customWidth="1"/>
    <col min="9" max="9" width="16.36328125" customWidth="1"/>
  </cols>
  <sheetData>
    <row r="1" spans="1:21" x14ac:dyDescent="0.35">
      <c r="A1" s="39" t="s">
        <v>91</v>
      </c>
      <c r="B1" s="43">
        <v>43891</v>
      </c>
      <c r="C1" s="43">
        <v>44256</v>
      </c>
      <c r="D1" s="43">
        <v>44621</v>
      </c>
      <c r="E1" s="43">
        <v>44986</v>
      </c>
      <c r="F1" s="43">
        <v>45352</v>
      </c>
      <c r="G1" s="43">
        <v>45717</v>
      </c>
      <c r="H1" s="39" t="s">
        <v>288</v>
      </c>
      <c r="I1" s="39" t="s">
        <v>291</v>
      </c>
      <c r="J1" s="39"/>
    </row>
    <row r="2" spans="1:21" x14ac:dyDescent="0.35">
      <c r="A2" t="s">
        <v>92</v>
      </c>
      <c r="B2" s="11">
        <v>256</v>
      </c>
      <c r="C2" s="11">
        <v>408</v>
      </c>
      <c r="D2" s="11">
        <v>619</v>
      </c>
      <c r="E2" s="11">
        <v>642</v>
      </c>
      <c r="F2" s="11">
        <v>732</v>
      </c>
      <c r="G2" s="11">
        <v>757</v>
      </c>
      <c r="I2" s="62" t="s">
        <v>292</v>
      </c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</row>
    <row r="3" spans="1:21" x14ac:dyDescent="0.35">
      <c r="A3" t="s">
        <v>93</v>
      </c>
      <c r="B3" s="5">
        <v>7723</v>
      </c>
      <c r="C3" s="5">
        <v>8500</v>
      </c>
      <c r="D3" s="5">
        <v>13063</v>
      </c>
      <c r="E3" s="5">
        <v>16166</v>
      </c>
      <c r="F3" s="5">
        <v>18119</v>
      </c>
      <c r="G3" s="5">
        <v>20690</v>
      </c>
      <c r="I3" s="62" t="s">
        <v>293</v>
      </c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</row>
    <row r="4" spans="1:21" x14ac:dyDescent="0.35">
      <c r="A4" t="s">
        <v>94</v>
      </c>
      <c r="B4">
        <f>B2/B3</f>
        <v>3.3147740515343777E-2</v>
      </c>
      <c r="C4">
        <f t="shared" ref="C4:G4" si="0">C2/C3</f>
        <v>4.8000000000000001E-2</v>
      </c>
      <c r="D4">
        <f t="shared" si="0"/>
        <v>4.7385746000153106E-2</v>
      </c>
      <c r="E4">
        <f t="shared" si="0"/>
        <v>3.9712977854756894E-2</v>
      </c>
      <c r="F4">
        <f t="shared" si="0"/>
        <v>4.0399580550803026E-2</v>
      </c>
      <c r="G4">
        <f t="shared" si="0"/>
        <v>3.6587723537941035E-2</v>
      </c>
      <c r="I4" s="62" t="s">
        <v>294</v>
      </c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</row>
    <row r="5" spans="1:21" x14ac:dyDescent="0.35">
      <c r="A5" t="s">
        <v>95</v>
      </c>
      <c r="B5">
        <f>B3/'balance sheet'!C38</f>
        <v>2.3646662584200859</v>
      </c>
      <c r="C5">
        <f>C3/'balance sheet'!D38</f>
        <v>2.5007355104442484</v>
      </c>
      <c r="D5">
        <f>D3/'balance sheet'!E38</f>
        <v>2.9341868823000898</v>
      </c>
      <c r="E5">
        <f>E3/'balance sheet'!F38</f>
        <v>2.7624743677375254</v>
      </c>
      <c r="F5">
        <f>F3/'balance sheet'!G38</f>
        <v>2.5210797272853762</v>
      </c>
      <c r="G5">
        <f>G3/'balance sheet'!H38</f>
        <v>2.723802001053186</v>
      </c>
      <c r="I5" s="62" t="s">
        <v>295</v>
      </c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</row>
    <row r="6" spans="1:21" x14ac:dyDescent="0.35">
      <c r="A6" t="s">
        <v>96</v>
      </c>
      <c r="B6">
        <f>B2/'balance sheet'!C38</f>
        <v>7.8383343539497857E-2</v>
      </c>
      <c r="C6">
        <f>C2/'balance sheet'!D38</f>
        <v>0.12003530450132392</v>
      </c>
      <c r="D6">
        <f>D2/'balance sheet'!E38</f>
        <v>0.1390386343216532</v>
      </c>
      <c r="E6">
        <f>E2/'balance sheet'!F38</f>
        <v>0.10970608339029392</v>
      </c>
      <c r="F6">
        <f>F2/'balance sheet'!G38</f>
        <v>0.10185056351746208</v>
      </c>
      <c r="G6">
        <f>G2/'balance sheet'!H38</f>
        <v>9.9657714586624535E-2</v>
      </c>
      <c r="I6" s="62" t="s">
        <v>296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</row>
    <row r="7" spans="1:21" x14ac:dyDescent="0.35">
      <c r="A7" t="s">
        <v>97</v>
      </c>
      <c r="B7">
        <f>'balance sheet'!C38/'balance sheet'!C2</f>
        <v>130.63999999999999</v>
      </c>
      <c r="C7">
        <f>'balance sheet'!D38/'balance sheet'!D2</f>
        <v>135.96</v>
      </c>
      <c r="D7">
        <f>'balance sheet'!E38/'balance sheet'!E2</f>
        <v>89.04</v>
      </c>
      <c r="E7">
        <f>'balance sheet'!F38/'balance sheet'!F2</f>
        <v>106.4</v>
      </c>
      <c r="F7">
        <f>'balance sheet'!G38/'balance sheet'!G2</f>
        <v>128.33928571428572</v>
      </c>
      <c r="G7">
        <f>'balance sheet'!H38/'balance sheet'!H2</f>
        <v>135.64285714285714</v>
      </c>
      <c r="I7" s="62" t="s">
        <v>297</v>
      </c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</row>
    <row r="8" spans="1:21" x14ac:dyDescent="0.35">
      <c r="A8" t="s">
        <v>98</v>
      </c>
      <c r="B8">
        <f>B2/'balance sheet'!C2</f>
        <v>10.24</v>
      </c>
      <c r="C8">
        <f>C2/'balance sheet'!D2</f>
        <v>16.32</v>
      </c>
      <c r="D8">
        <f>D2/'balance sheet'!E2</f>
        <v>12.38</v>
      </c>
      <c r="E8">
        <f>E2/'balance sheet'!F2</f>
        <v>11.672727272727272</v>
      </c>
      <c r="F8">
        <f>F2/'balance sheet'!G2</f>
        <v>13.071428571428571</v>
      </c>
      <c r="G8">
        <f>G2/'balance sheet'!H2</f>
        <v>13.517857142857142</v>
      </c>
      <c r="I8" s="62" t="s">
        <v>298</v>
      </c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</row>
    <row r="9" spans="1:21" x14ac:dyDescent="0.35">
      <c r="A9" t="s">
        <v>99</v>
      </c>
      <c r="B9" s="31">
        <v>1515.47</v>
      </c>
      <c r="C9" s="31">
        <v>1849.62</v>
      </c>
      <c r="D9" s="31">
        <v>2137.81</v>
      </c>
      <c r="E9" s="31">
        <v>2557.77</v>
      </c>
      <c r="F9" s="31">
        <v>3341.36</v>
      </c>
      <c r="G9" s="32">
        <v>3467</v>
      </c>
      <c r="I9" s="62" t="s">
        <v>299</v>
      </c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</row>
    <row r="10" spans="1:21" x14ac:dyDescent="0.35">
      <c r="A10" t="s">
        <v>100</v>
      </c>
      <c r="B10" s="31">
        <v>1152.48</v>
      </c>
      <c r="C10" s="31">
        <v>1412.93</v>
      </c>
      <c r="D10" s="33">
        <v>1742.64</v>
      </c>
      <c r="E10" s="31">
        <v>2180.25</v>
      </c>
      <c r="F10" s="31">
        <v>2495.42</v>
      </c>
      <c r="G10" s="32">
        <v>2753</v>
      </c>
      <c r="I10" s="62" t="s">
        <v>300</v>
      </c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</row>
    <row r="11" spans="1:21" x14ac:dyDescent="0.35">
      <c r="A11" t="s">
        <v>101</v>
      </c>
      <c r="B11" s="35">
        <f>B9/B10</f>
        <v>1.3149642510065251</v>
      </c>
      <c r="C11" s="35">
        <f t="shared" ref="C11:G11" si="1">C9/C10</f>
        <v>1.3090669743016283</v>
      </c>
      <c r="D11" s="35">
        <f t="shared" si="1"/>
        <v>1.2267651379516136</v>
      </c>
      <c r="E11" s="35">
        <f t="shared" si="1"/>
        <v>1.173154454764362</v>
      </c>
      <c r="F11" s="35">
        <f t="shared" si="1"/>
        <v>1.3389970425820104</v>
      </c>
      <c r="G11" s="35">
        <f t="shared" si="1"/>
        <v>1.259353432618961</v>
      </c>
      <c r="I11" s="62" t="s">
        <v>301</v>
      </c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2" spans="1:21" x14ac:dyDescent="0.35">
      <c r="A12" t="s">
        <v>102</v>
      </c>
      <c r="B12">
        <v>6956.16</v>
      </c>
      <c r="C12">
        <v>7508.16</v>
      </c>
      <c r="D12">
        <v>11633.28</v>
      </c>
      <c r="E12">
        <v>14537.28</v>
      </c>
      <c r="F12">
        <v>16248.96</v>
      </c>
      <c r="G12">
        <v>18710.400000000001</v>
      </c>
      <c r="I12" s="62" t="s">
        <v>302</v>
      </c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</row>
    <row r="13" spans="1:21" x14ac:dyDescent="0.35">
      <c r="A13" t="s">
        <v>103</v>
      </c>
      <c r="B13">
        <f>'balance sheet'!B30+'balance sheet'!C30/2</f>
        <v>1176</v>
      </c>
      <c r="C13">
        <f>'balance sheet'!C30+'balance sheet'!D30/2</f>
        <v>1164</v>
      </c>
      <c r="D13">
        <f>'balance sheet'!D30+'balance sheet'!E30/2</f>
        <v>1183.5</v>
      </c>
      <c r="E13">
        <f>'balance sheet'!E30+'balance sheet'!F30/2</f>
        <v>1587</v>
      </c>
      <c r="F13">
        <f>'balance sheet'!F30+'balance sheet'!G30/2</f>
        <v>2299</v>
      </c>
      <c r="G13">
        <f>'balance sheet'!G30+'balance sheet'!H30/2</f>
        <v>2449.5</v>
      </c>
      <c r="I13" s="62" t="s">
        <v>303</v>
      </c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</row>
    <row r="14" spans="1:21" x14ac:dyDescent="0.35">
      <c r="A14" t="s">
        <v>104</v>
      </c>
      <c r="B14">
        <f>B12/B13</f>
        <v>5.9151020408163264</v>
      </c>
      <c r="C14">
        <f t="shared" ref="C14:G14" si="2">C12/C13</f>
        <v>6.4503092783505149</v>
      </c>
      <c r="D14">
        <f t="shared" si="2"/>
        <v>9.8295564005069718</v>
      </c>
      <c r="E14">
        <f t="shared" si="2"/>
        <v>9.1602268431001903</v>
      </c>
      <c r="F14">
        <f t="shared" si="2"/>
        <v>7.067838190517616</v>
      </c>
      <c r="G14">
        <f t="shared" si="2"/>
        <v>7.6384568279240668</v>
      </c>
      <c r="I14" s="62" t="s">
        <v>304</v>
      </c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</row>
    <row r="15" spans="1:21" x14ac:dyDescent="0.35">
      <c r="A15" t="s">
        <v>105</v>
      </c>
      <c r="B15">
        <f>'balance sheet'!C31/'key ratios'!B3</f>
        <v>6.1634080020717338E-2</v>
      </c>
      <c r="C15">
        <f>'balance sheet'!D33/'key ratios'!C3</f>
        <v>1.6117647058823528E-2</v>
      </c>
      <c r="D15">
        <f>'balance sheet'!E31/'key ratios'!D3</f>
        <v>2.6180816045318838E-2</v>
      </c>
      <c r="E15">
        <f>'balance sheet'!F31/'key ratios'!E3</f>
        <v>8.4745762711864406E-3</v>
      </c>
      <c r="F15">
        <f>'balance sheet'!G31/'key ratios'!F3</f>
        <v>7.671505049947569E-3</v>
      </c>
      <c r="G15">
        <f>'balance sheet'!H31/'key ratios'!G3</f>
        <v>1.2904784920251329E-2</v>
      </c>
      <c r="I15" s="62" t="s">
        <v>305</v>
      </c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</row>
    <row r="16" spans="1:21" x14ac:dyDescent="0.35">
      <c r="A16" t="s">
        <v>106</v>
      </c>
      <c r="B16">
        <f>'key ratios'!B3-'profit and loss account'!B2/'profit and loss account'!B2</f>
        <v>7722</v>
      </c>
      <c r="C16">
        <f>C3-B3/B3</f>
        <v>8499</v>
      </c>
      <c r="D16" s="32">
        <f>D3-C3/C3</f>
        <v>13062</v>
      </c>
      <c r="E16">
        <f>D3-E3/D3</f>
        <v>13061.762458853249</v>
      </c>
      <c r="F16">
        <f>F3-E3/E3</f>
        <v>18118</v>
      </c>
      <c r="G16">
        <f>F3-G3/F3</f>
        <v>18117.858104751918</v>
      </c>
      <c r="I16" s="62" t="s">
        <v>306</v>
      </c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</row>
    <row r="17" spans="1:20" x14ac:dyDescent="0.35">
      <c r="A17" t="s">
        <v>107</v>
      </c>
      <c r="B17">
        <f>B3-B12/B3</f>
        <v>7722.0992930208467</v>
      </c>
      <c r="C17">
        <f t="shared" ref="C17:G17" si="3">C3-C12/C3</f>
        <v>8499.116687058824</v>
      </c>
      <c r="D17">
        <f t="shared" si="3"/>
        <v>13062.109448059404</v>
      </c>
      <c r="E17">
        <f t="shared" si="3"/>
        <v>16165.100749721638</v>
      </c>
      <c r="F17">
        <f t="shared" si="3"/>
        <v>18118.103208786357</v>
      </c>
      <c r="G17">
        <f t="shared" si="3"/>
        <v>20689.095679072016</v>
      </c>
      <c r="I17" s="62" t="s">
        <v>307</v>
      </c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</row>
    <row r="18" spans="1:20" x14ac:dyDescent="0.35">
      <c r="A18" t="s">
        <v>108</v>
      </c>
      <c r="B18">
        <f>'cash flow statement'!C25/'key ratios'!B2</f>
        <v>-0.1328125</v>
      </c>
      <c r="C18">
        <f>'cash flow statement'!D25/'key ratios'!C2</f>
        <v>0</v>
      </c>
      <c r="D18">
        <f>'cash flow statement'!E25/'key ratios'!D2</f>
        <v>0</v>
      </c>
      <c r="E18">
        <f>'cash flow statement'!F25/'key ratios'!E2</f>
        <v>-0.13707165109034267</v>
      </c>
      <c r="F18">
        <f>'cash flow statement'!G25/'key ratios'!F2</f>
        <v>-0.18989071038251365</v>
      </c>
      <c r="G18">
        <f>'cash flow statement'!H25/'key ratios'!G2</f>
        <v>-0.20211360634081901</v>
      </c>
      <c r="I18" s="62" t="s">
        <v>308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spans="1:20" x14ac:dyDescent="0.35">
      <c r="A19" t="s">
        <v>109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BE07D32-123F-4841-B872-813290B9B11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'key ratios'!B2:H2</xm:f>
              <xm:sqref>H2</xm:sqref>
            </x14:sparkline>
            <x14:sparkline>
              <xm:f>'key ratios'!B3:H3</xm:f>
              <xm:sqref>H3</xm:sqref>
            </x14:sparkline>
            <x14:sparkline>
              <xm:f>'key ratios'!B4:H4</xm:f>
              <xm:sqref>H4</xm:sqref>
            </x14:sparkline>
            <x14:sparkline>
              <xm:f>'key ratios'!B5:H5</xm:f>
              <xm:sqref>H5</xm:sqref>
            </x14:sparkline>
            <x14:sparkline>
              <xm:f>'key ratios'!B6:H6</xm:f>
              <xm:sqref>H6</xm:sqref>
            </x14:sparkline>
            <x14:sparkline>
              <xm:f>'key ratios'!B7:H7</xm:f>
              <xm:sqref>H7</xm:sqref>
            </x14:sparkline>
            <x14:sparkline>
              <xm:f>'key ratios'!B8:H8</xm:f>
              <xm:sqref>H8</xm:sqref>
            </x14:sparkline>
            <x14:sparkline>
              <xm:f>'key ratios'!B9:H9</xm:f>
              <xm:sqref>H9</xm:sqref>
            </x14:sparkline>
            <x14:sparkline>
              <xm:f>'key ratios'!B10:H10</xm:f>
              <xm:sqref>H10</xm:sqref>
            </x14:sparkline>
            <x14:sparkline>
              <xm:f>'key ratios'!B11:H11</xm:f>
              <xm:sqref>H11</xm:sqref>
            </x14:sparkline>
            <x14:sparkline>
              <xm:f>'key ratios'!B12:H12</xm:f>
              <xm:sqref>H12</xm:sqref>
            </x14:sparkline>
            <x14:sparkline>
              <xm:f>'key ratios'!B13:H13</xm:f>
              <xm:sqref>H13</xm:sqref>
            </x14:sparkline>
            <x14:sparkline>
              <xm:f>'key ratios'!B14:H14</xm:f>
              <xm:sqref>H14</xm:sqref>
            </x14:sparkline>
            <x14:sparkline>
              <xm:f>'key ratios'!B15:H15</xm:f>
              <xm:sqref>H15</xm:sqref>
            </x14:sparkline>
            <x14:sparkline>
              <xm:f>'key ratios'!B16:H16</xm:f>
              <xm:sqref>H16</xm:sqref>
            </x14:sparkline>
            <x14:sparkline>
              <xm:f>'key ratios'!B17:H17</xm:f>
              <xm:sqref>H17</xm:sqref>
            </x14:sparkline>
            <x14:sparkline>
              <xm:f>'key ratios'!B18:H18</xm:f>
              <xm:sqref>H18</xm:sqref>
            </x14:sparkline>
            <x14:sparkline>
              <xm:f>'key ratios'!B19:H19</xm:f>
              <xm:sqref>H19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69DC-9C4E-4727-B9C1-5B288C2F1A8E}">
  <dimension ref="A1:X25"/>
  <sheetViews>
    <sheetView tabSelected="1" topLeftCell="A7" workbookViewId="0">
      <selection activeCell="D21" sqref="D21"/>
    </sheetView>
  </sheetViews>
  <sheetFormatPr defaultRowHeight="14.5" x14ac:dyDescent="0.35"/>
  <cols>
    <col min="1" max="1" width="22.54296875" customWidth="1"/>
    <col min="2" max="2" width="11.81640625" bestFit="1" customWidth="1"/>
  </cols>
  <sheetData>
    <row r="1" spans="1:24" x14ac:dyDescent="0.35">
      <c r="B1" s="43">
        <v>43891</v>
      </c>
      <c r="C1" s="43">
        <v>44256</v>
      </c>
      <c r="D1" s="43">
        <v>44621</v>
      </c>
      <c r="E1" s="43">
        <v>44986</v>
      </c>
      <c r="F1" s="43">
        <v>45352</v>
      </c>
      <c r="G1" s="43">
        <v>45717</v>
      </c>
      <c r="H1" s="39"/>
    </row>
    <row r="2" spans="1:24" x14ac:dyDescent="0.35">
      <c r="A2" t="s">
        <v>128</v>
      </c>
      <c r="B2">
        <f>('profit and loss account'!C11/'profit and loss account'!C2)*100</f>
        <v>6.1893046743493461</v>
      </c>
      <c r="C2">
        <f>('profit and loss account'!D11/'profit and loss account'!D2)*100</f>
        <v>7.9882352941176471</v>
      </c>
      <c r="D2">
        <f>('profit and loss account'!D11/'profit and loss account'!E2)*100</f>
        <v>5.1978871622138865</v>
      </c>
      <c r="E2">
        <f>('profit and loss account'!E11/'profit and loss account'!F2)*100</f>
        <v>5.8517877025856739</v>
      </c>
      <c r="F2">
        <f>('profit and loss account'!F11/'profit and loss account'!G2)*100</f>
        <v>5.6404878856449026</v>
      </c>
      <c r="G2">
        <f>('profit and loss account'!G11/'profit and loss account'!H2)*100</f>
        <v>5.7660705654905753</v>
      </c>
    </row>
    <row r="3" spans="1:24" x14ac:dyDescent="0.35">
      <c r="A3" t="s">
        <v>129</v>
      </c>
      <c r="B3">
        <f>'cash flow statement'!C2-'cash flow statement'!C12</f>
        <v>819</v>
      </c>
      <c r="C3">
        <f>'cash flow statement'!D2-'cash flow statement'!D12</f>
        <v>1264</v>
      </c>
      <c r="D3">
        <f>'cash flow statement'!E2-'cash flow statement'!E12</f>
        <v>1249</v>
      </c>
      <c r="E3">
        <f>'cash flow statement'!F2-'cash flow statement'!F12</f>
        <v>1553</v>
      </c>
      <c r="F3">
        <f>'cash flow statement'!G2-'cash flow statement'!G12</f>
        <v>1807</v>
      </c>
      <c r="G3">
        <f>'cash flow statement'!H2-'cash flow statement'!H12</f>
        <v>1935</v>
      </c>
      <c r="I3" s="41" t="s">
        <v>233</v>
      </c>
      <c r="J3" s="41"/>
      <c r="K3" s="41"/>
      <c r="L3" s="41"/>
      <c r="M3" s="41"/>
      <c r="N3" s="41"/>
      <c r="O3" s="41"/>
    </row>
    <row r="4" spans="1:24" x14ac:dyDescent="0.35">
      <c r="A4" t="s">
        <v>116</v>
      </c>
      <c r="B4" s="31">
        <f>'key ratios'!B9-'key ratios'!B10</f>
        <v>362.99</v>
      </c>
      <c r="C4" s="31">
        <f>'key ratios'!C9-'key ratios'!C10</f>
        <v>436.68999999999983</v>
      </c>
      <c r="D4" s="31">
        <f>'key ratios'!D9-'key ratios'!D10</f>
        <v>395.16999999999985</v>
      </c>
      <c r="E4" s="31">
        <f>'key ratios'!E9-'key ratios'!E10</f>
        <v>377.52</v>
      </c>
      <c r="F4" s="31">
        <f>'key ratios'!F9-'key ratios'!F10</f>
        <v>845.94</v>
      </c>
      <c r="G4" s="31">
        <f>'key ratios'!G9-'key ratios'!G10</f>
        <v>714</v>
      </c>
      <c r="I4" s="41" t="s">
        <v>232</v>
      </c>
      <c r="J4" s="41"/>
      <c r="K4" s="41"/>
      <c r="L4" s="41"/>
      <c r="M4" s="41"/>
      <c r="N4" s="41"/>
      <c r="O4" s="41"/>
    </row>
    <row r="5" spans="1:24" x14ac:dyDescent="0.35">
      <c r="A5" t="s">
        <v>130</v>
      </c>
      <c r="B5" s="31">
        <f>('balance sheet'!C35+'balance sheet'!C31)-('key ratios'!B10+'balance sheet'!C5)</f>
        <v>-1034.48</v>
      </c>
      <c r="C5" s="31">
        <f>('balance sheet'!D35+'balance sheet'!D31)-('key ratios'!C10+'balance sheet'!D5)</f>
        <v>-1106.93</v>
      </c>
      <c r="D5" s="31">
        <f>('balance sheet'!E35+'balance sheet'!E31)-('key ratios'!D10+'balance sheet'!E5)</f>
        <v>-1371.6400000000003</v>
      </c>
      <c r="E5" s="31">
        <f>('balance sheet'!F35+'balance sheet'!F31)-('key ratios'!E10+'balance sheet'!F5)</f>
        <v>-2099.25</v>
      </c>
      <c r="F5" s="31">
        <f>('balance sheet'!G35+'balance sheet'!G31)-('key ratios'!F10+'balance sheet'!G5)</f>
        <v>-2795.42</v>
      </c>
      <c r="G5" s="31">
        <f>('balance sheet'!H35+'balance sheet'!H31)-('key ratios'!G10+'balance sheet'!H5)</f>
        <v>-2320</v>
      </c>
    </row>
    <row r="6" spans="1:24" x14ac:dyDescent="0.35">
      <c r="A6" t="s">
        <v>131</v>
      </c>
      <c r="B6">
        <f>('key ratios'!B2+'profit and loss account'!C18+'profit and loss account'!C16+'profit and loss account'!C13+'profit and loss account'!C14)*(1-'profit and loss account'!C19)</f>
        <v>586.52</v>
      </c>
      <c r="C6">
        <f>('key ratios'!C2+'profit and loss account'!D18+'profit and loss account'!D16+'profit and loss account'!D13+'profit and loss account'!D14)*(1-'profit and loss account'!D19)</f>
        <v>792</v>
      </c>
      <c r="D6">
        <f>('key ratios'!D2+'profit and loss account'!E18+'profit and loss account'!E16+'profit and loss account'!E13+'profit and loss account'!E14)*(1-'profit and loss account'!E19)</f>
        <v>1135.9000000000001</v>
      </c>
      <c r="E6">
        <f>('key ratios'!E2+'profit and loss account'!F18+'profit and loss account'!F16+'profit and loss account'!F13+'profit and loss account'!F14)*(1-'profit and loss account'!F19)</f>
        <v>1196.58</v>
      </c>
      <c r="F6">
        <f>('key ratios'!F2+'profit and loss account'!G18+'profit and loss account'!G16+'profit and loss account'!G13+'profit and loss account'!G14)*(1-'profit and loss account'!G19)</f>
        <v>1426.5</v>
      </c>
      <c r="G6">
        <f>('key ratios'!G2+'profit and loss account'!H18+'profit and loss account'!H16+'profit and loss account'!H13+'profit and loss account'!H14)*(1-'profit and loss account'!H19)</f>
        <v>1553.93</v>
      </c>
      <c r="J6" s="42" t="s">
        <v>151</v>
      </c>
      <c r="K6" s="42"/>
      <c r="L6" s="42"/>
      <c r="M6" s="42"/>
      <c r="N6" s="42"/>
      <c r="O6" s="42"/>
    </row>
    <row r="7" spans="1:24" x14ac:dyDescent="0.35">
      <c r="A7" t="s">
        <v>132</v>
      </c>
      <c r="B7">
        <f>'profit and loss account'!C16*(1-'profit and loss account'!C19)</f>
        <v>92.02</v>
      </c>
      <c r="C7">
        <f>'profit and loss account'!D16*(1-'profit and loss account'!D19)</f>
        <v>49.5</v>
      </c>
      <c r="D7">
        <f>'profit and loss account'!E16*(1-'profit and loss account'!E19)</f>
        <v>32.56</v>
      </c>
      <c r="E7">
        <f>'profit and loss account'!F16*(1-'profit and loss account'!F19)</f>
        <v>49.58</v>
      </c>
      <c r="F7">
        <f>'profit and loss account'!G16*(1-'profit and loss account'!G19)</f>
        <v>84.75</v>
      </c>
      <c r="G7">
        <f>'profit and loss account'!H16*(1-'profit and loss account'!H19)</f>
        <v>105.07000000000001</v>
      </c>
    </row>
    <row r="8" spans="1:24" x14ac:dyDescent="0.35">
      <c r="A8" t="s">
        <v>133</v>
      </c>
      <c r="B8">
        <f>'balance sheet'!C5+'balance sheet'!C6+'balance sheet'!C7+'balance sheet'!C8</f>
        <v>835</v>
      </c>
      <c r="C8">
        <f>'balance sheet'!D5+'balance sheet'!D6+'balance sheet'!D7+'balance sheet'!D8</f>
        <v>520</v>
      </c>
      <c r="D8">
        <f>'balance sheet'!E5+'balance sheet'!E6+'balance sheet'!E7+'balance sheet'!E8</f>
        <v>581</v>
      </c>
      <c r="E8">
        <f>'balance sheet'!F5+'balance sheet'!F6+'balance sheet'!F7+'balance sheet'!F8</f>
        <v>873</v>
      </c>
      <c r="F8">
        <f>'balance sheet'!G5+'balance sheet'!G6+'balance sheet'!G7+'balance sheet'!G8</f>
        <v>1145</v>
      </c>
      <c r="G8">
        <f>'balance sheet'!H5+'balance sheet'!H6+'balance sheet'!H7+'balance sheet'!H8</f>
        <v>635</v>
      </c>
      <c r="J8" s="41" t="s">
        <v>234</v>
      </c>
      <c r="K8" s="41"/>
      <c r="L8" s="41"/>
    </row>
    <row r="9" spans="1:24" x14ac:dyDescent="0.35">
      <c r="A9" t="s">
        <v>134</v>
      </c>
      <c r="B9" s="32">
        <f>'balance sheet'!C25-'balance sheet'!C26</f>
        <v>1708</v>
      </c>
      <c r="C9" s="32">
        <f>'balance sheet'!D25-'balance sheet'!D26</f>
        <v>1735</v>
      </c>
      <c r="D9" s="32">
        <f>'balance sheet'!E25-'balance sheet'!E26</f>
        <v>1837</v>
      </c>
      <c r="E9" s="32">
        <f>'balance sheet'!F25-'balance sheet'!F26</f>
        <v>2580</v>
      </c>
      <c r="F9" s="32">
        <f>'balance sheet'!G25-'balance sheet'!G26</f>
        <v>3281</v>
      </c>
      <c r="G9" s="32">
        <f>'balance sheet'!H25-'balance sheet'!H26</f>
        <v>3668</v>
      </c>
    </row>
    <row r="10" spans="1:24" x14ac:dyDescent="0.35">
      <c r="A10" t="s">
        <v>135</v>
      </c>
      <c r="B10" s="32">
        <f>'balance sheet'!C14-'balance sheet'!C35</f>
        <v>3220</v>
      </c>
      <c r="C10" s="32">
        <f>'balance sheet'!D14-'balance sheet'!D35</f>
        <v>3041</v>
      </c>
      <c r="D10" s="32">
        <f>'balance sheet'!E14-'balance sheet'!E35</f>
        <v>4076</v>
      </c>
      <c r="E10" s="32">
        <f>'balance sheet'!F14-'balance sheet'!F35</f>
        <v>5500</v>
      </c>
      <c r="F10" s="32">
        <f>'balance sheet'!G14-'balance sheet'!G35</f>
        <v>6839</v>
      </c>
      <c r="G10" s="32">
        <f>'balance sheet'!H14-'balance sheet'!H35</f>
        <v>7021</v>
      </c>
      <c r="J10" s="53" t="s">
        <v>152</v>
      </c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</row>
    <row r="11" spans="1:24" x14ac:dyDescent="0.35">
      <c r="A11" t="s">
        <v>136</v>
      </c>
      <c r="B11" s="32">
        <f>'balance sheet'!C38-'balance sheet'!C14</f>
        <v>0</v>
      </c>
      <c r="C11" s="32">
        <f>'balance sheet'!D38-'balance sheet'!D14</f>
        <v>0</v>
      </c>
      <c r="D11" s="32">
        <f>'balance sheet'!E38-'balance sheet'!E14</f>
        <v>0</v>
      </c>
      <c r="E11" s="32">
        <f>'balance sheet'!F38-'balance sheet'!F14</f>
        <v>0</v>
      </c>
      <c r="F11" s="32">
        <f>'balance sheet'!G38-'balance sheet'!G14</f>
        <v>0</v>
      </c>
      <c r="G11" s="32">
        <f>'balance sheet'!H38-'balance sheet'!H14</f>
        <v>0</v>
      </c>
    </row>
    <row r="12" spans="1:24" x14ac:dyDescent="0.35">
      <c r="A12" t="s">
        <v>127</v>
      </c>
      <c r="B12" s="32">
        <f>'balance sheet'!C2+'balance sheet'!C3</f>
        <v>1356</v>
      </c>
      <c r="C12" s="32">
        <f>'balance sheet'!D2+'balance sheet'!D3</f>
        <v>1695</v>
      </c>
      <c r="D12" s="32">
        <f>'balance sheet'!E2+'balance sheet'!E3</f>
        <v>2464</v>
      </c>
      <c r="E12" s="32">
        <f>'balance sheet'!F2+'balance sheet'!F3</f>
        <v>3005</v>
      </c>
      <c r="F12" s="32">
        <f>'balance sheet'!G2+'balance sheet'!G3</f>
        <v>3605</v>
      </c>
      <c r="G12" s="32">
        <f>'balance sheet'!H2+'balance sheet'!H3</f>
        <v>4209</v>
      </c>
      <c r="I12" s="41" t="s">
        <v>235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</row>
    <row r="13" spans="1:24" x14ac:dyDescent="0.35">
      <c r="A13" t="s">
        <v>137</v>
      </c>
      <c r="B13">
        <f>'key ratios'!B3/'key financial performance indi'!B4</f>
        <v>21.276068211245487</v>
      </c>
      <c r="C13">
        <f>'key ratios'!C3/'key financial performance indi'!C4</f>
        <v>19.464608761363905</v>
      </c>
      <c r="D13">
        <f>'key ratios'!D3/'key financial performance indi'!D4</f>
        <v>33.056659159349152</v>
      </c>
      <c r="E13">
        <f>'key ratios'!E3/'key financial performance indi'!E4</f>
        <v>42.821572367026917</v>
      </c>
      <c r="F13">
        <f>'key ratios'!F3/'key financial performance indi'!F4</f>
        <v>21.418776745395654</v>
      </c>
      <c r="G13">
        <f>'key ratios'!G3/'key financial performance indi'!G4</f>
        <v>28.977591036414566</v>
      </c>
      <c r="I13" s="41" t="s">
        <v>241</v>
      </c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</row>
    <row r="14" spans="1:24" x14ac:dyDescent="0.35">
      <c r="A14" t="s">
        <v>138</v>
      </c>
      <c r="B14" s="38">
        <f>'key ratios'!B2-'cash flow statement'!C25/'KEY FINANCIALS'!J14</f>
        <v>256.00000012251166</v>
      </c>
      <c r="C14" s="38">
        <f>'key ratios'!C2-'cash flow statement'!D25/'KEY FINANCIALS'!J14</f>
        <v>408</v>
      </c>
      <c r="D14" s="38">
        <f>'key ratios'!D2-'cash flow statement'!E25/'KEY FINANCIALS'!J14</f>
        <v>619</v>
      </c>
      <c r="E14" s="38">
        <f>'key ratios'!E2-'cash flow statement'!F25/'KEY FINANCIALS'!J14</f>
        <v>642.00000031708907</v>
      </c>
      <c r="F14" s="38">
        <f>'key ratios'!F2-'cash flow statement'!G25/'KEY FINANCIALS'!J14</f>
        <v>732.00000050085657</v>
      </c>
      <c r="G14" s="38">
        <f>'key ratios'!G2-'cash flow statement'!H25/'KEY FINANCIALS'!J14</f>
        <v>757.00000055130261</v>
      </c>
      <c r="I14" s="41" t="s">
        <v>236</v>
      </c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</row>
    <row r="15" spans="1:24" x14ac:dyDescent="0.35">
      <c r="A15" t="s">
        <v>139</v>
      </c>
      <c r="B15">
        <f>'balance sheet'!C2+'balance sheet'!C3/'KEY FINANCIALS'!J14</f>
        <v>25.000004795971861</v>
      </c>
      <c r="C15">
        <f>'balance sheet'!D2+'balance sheet'!D3/'KEY FINANCIALS'!J14</f>
        <v>25.000006017485358</v>
      </c>
      <c r="D15">
        <f>'balance sheet'!E2+'balance sheet'!E3/'KEY FINANCIALS'!J14</f>
        <v>50.000008698329133</v>
      </c>
      <c r="E15">
        <f>'balance sheet'!F2+'balance sheet'!F3/'KEY FINANCIALS'!J14</f>
        <v>55.000010629689704</v>
      </c>
      <c r="F15">
        <f>'balance sheet'!G2+'balance sheet'!G3/'KEY FINANCIALS'!J14</f>
        <v>56.000012788057205</v>
      </c>
      <c r="G15">
        <f>'balance sheet'!H2+'balance sheet'!H3/'KEY FINANCIALS'!J14</f>
        <v>56.000014964441128</v>
      </c>
      <c r="I15" s="41" t="s">
        <v>237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</row>
    <row r="16" spans="1:24" x14ac:dyDescent="0.35">
      <c r="A16" t="s">
        <v>140</v>
      </c>
      <c r="I16" s="41" t="s">
        <v>238</v>
      </c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</row>
    <row r="17" spans="1:20" x14ac:dyDescent="0.35">
      <c r="A17" t="s">
        <v>141</v>
      </c>
      <c r="B17">
        <v>61.932000000000002</v>
      </c>
      <c r="C17">
        <v>61.932000000000002</v>
      </c>
      <c r="D17">
        <v>30.966000000000001</v>
      </c>
      <c r="E17">
        <v>28.1</v>
      </c>
      <c r="F17">
        <v>27.64</v>
      </c>
      <c r="G17">
        <v>27.6</v>
      </c>
      <c r="I17" s="41" t="s">
        <v>153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</row>
    <row r="18" spans="1:20" x14ac:dyDescent="0.35">
      <c r="I18" s="41" t="s">
        <v>239</v>
      </c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</row>
    <row r="19" spans="1:20" x14ac:dyDescent="0.35">
      <c r="I19" s="41" t="s">
        <v>154</v>
      </c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</row>
    <row r="20" spans="1:20" x14ac:dyDescent="0.35">
      <c r="I20" s="41" t="s">
        <v>240</v>
      </c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</row>
    <row r="21" spans="1:20" x14ac:dyDescent="0.35">
      <c r="I21" s="41" t="s">
        <v>281</v>
      </c>
    </row>
    <row r="25" spans="1:20" x14ac:dyDescent="0.35">
      <c r="B25" s="61" t="s">
        <v>309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</row>
  </sheetData>
  <mergeCells count="2">
    <mergeCell ref="J10:X10"/>
    <mergeCell ref="B25:S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5566-E6CE-4333-BF12-14F8BADC05C7}">
  <dimension ref="A1:W19"/>
  <sheetViews>
    <sheetView workbookViewId="0">
      <selection activeCell="J14" sqref="J14"/>
    </sheetView>
  </sheetViews>
  <sheetFormatPr defaultRowHeight="14.5" x14ac:dyDescent="0.35"/>
  <cols>
    <col min="1" max="1" width="23.453125" customWidth="1"/>
    <col min="3" max="3" width="10.81640625" bestFit="1" customWidth="1"/>
    <col min="4" max="7" width="11.81640625" bestFit="1" customWidth="1"/>
    <col min="10" max="10" width="9.81640625" bestFit="1" customWidth="1"/>
  </cols>
  <sheetData>
    <row r="1" spans="1:16" x14ac:dyDescent="0.35">
      <c r="B1" s="40">
        <v>2020</v>
      </c>
      <c r="C1" s="40">
        <v>2021</v>
      </c>
      <c r="D1" s="40">
        <v>2022</v>
      </c>
      <c r="E1" s="40">
        <v>2023</v>
      </c>
      <c r="F1" s="40">
        <v>2024</v>
      </c>
      <c r="G1" s="40">
        <v>2025</v>
      </c>
    </row>
    <row r="2" spans="1:16" x14ac:dyDescent="0.35">
      <c r="A2" t="s">
        <v>111</v>
      </c>
      <c r="B2" s="37">
        <f>'profit and loss account'!C5+'profit and loss account'!C8+'profit and loss account'!C9+'profit and loss account'!C10</f>
        <v>0.93</v>
      </c>
      <c r="C2" s="36">
        <f>'profit and loss account'!D5+'profit and loss account'!D8+'profit and loss account'!D9+'profit and loss account'!D10</f>
        <v>0.92</v>
      </c>
      <c r="D2" s="36">
        <f>'profit and loss account'!E5+'profit and loss account'!E8+'profit and loss account'!E9+'profit and loss account'!E10</f>
        <v>0.93</v>
      </c>
      <c r="E2" s="36">
        <f>'profit and loss account'!F5+'profit and loss account'!F8+'profit and loss account'!F9+'profit and loss account'!F10</f>
        <v>0.94000000000000006</v>
      </c>
      <c r="F2" s="36">
        <f>'profit and loss account'!G5+'profit and loss account'!G8+'profit and loss account'!G9+'profit and loss account'!G10</f>
        <v>0.93</v>
      </c>
      <c r="G2" s="36">
        <f>'profit and loss account'!H5+'profit and loss account'!H8+'profit and loss account'!H9+'profit and loss account'!H10</f>
        <v>0.94000000000000006</v>
      </c>
    </row>
    <row r="3" spans="1:16" x14ac:dyDescent="0.35">
      <c r="A3" t="s">
        <v>110</v>
      </c>
      <c r="B3" s="31">
        <f>'key ratios'!B3-'KEY FINANCIALS'!B2</f>
        <v>7722.07</v>
      </c>
      <c r="C3" s="37">
        <f>'key ratios'!C3-'KEY FINANCIALS'!C2</f>
        <v>8499.08</v>
      </c>
      <c r="D3" s="37">
        <f>'key ratios'!D3-'KEY FINANCIALS'!D2</f>
        <v>13062.07</v>
      </c>
      <c r="E3" s="37">
        <f>'key ratios'!E3-'KEY FINANCIALS'!E2</f>
        <v>16165.06</v>
      </c>
      <c r="F3" s="37">
        <f>'key ratios'!F3-'KEY FINANCIALS'!F2</f>
        <v>18118.07</v>
      </c>
      <c r="G3" s="37">
        <f>'key ratios'!G3-'KEY FINANCIALS'!G2</f>
        <v>20689.060000000001</v>
      </c>
      <c r="J3" s="41" t="s">
        <v>142</v>
      </c>
      <c r="K3" s="41"/>
      <c r="L3" s="41"/>
      <c r="M3" s="41"/>
      <c r="N3" s="41"/>
      <c r="O3" s="41"/>
    </row>
    <row r="4" spans="1:16" x14ac:dyDescent="0.35">
      <c r="A4" t="s">
        <v>113</v>
      </c>
      <c r="B4">
        <f>'profit and loss account'!C11-'profit and loss account'!C17</f>
        <v>382</v>
      </c>
      <c r="C4">
        <f>'profit and loss account'!D11-'profit and loss account'!D17</f>
        <v>576</v>
      </c>
      <c r="D4">
        <f>'profit and loss account'!E11-'profit and loss account'!E17</f>
        <v>837</v>
      </c>
      <c r="E4" s="32">
        <f>'profit and loss account'!F11-'profit and loss account'!F17</f>
        <v>884</v>
      </c>
      <c r="F4" s="32">
        <f>'profit and loss account'!G11-'profit and loss account'!G17</f>
        <v>1017</v>
      </c>
      <c r="G4" s="32">
        <f>'profit and loss account'!H11-'profit and loss account'!H17</f>
        <v>998</v>
      </c>
      <c r="J4" s="41" t="s">
        <v>143</v>
      </c>
      <c r="K4" s="41"/>
      <c r="L4" s="41"/>
      <c r="M4" s="41"/>
      <c r="N4" s="41"/>
      <c r="O4" s="41"/>
    </row>
    <row r="5" spans="1:16" x14ac:dyDescent="0.35">
      <c r="J5" s="41" t="s">
        <v>112</v>
      </c>
      <c r="K5" s="41"/>
      <c r="L5" s="41"/>
      <c r="M5" s="41"/>
      <c r="N5" s="41"/>
      <c r="O5" s="41"/>
    </row>
    <row r="6" spans="1:16" x14ac:dyDescent="0.35">
      <c r="A6" t="s">
        <v>125</v>
      </c>
      <c r="B6">
        <f t="shared" ref="B6:G6" si="0">B3/B4</f>
        <v>20.214842931937174</v>
      </c>
      <c r="C6">
        <f t="shared" si="0"/>
        <v>14.755347222222222</v>
      </c>
      <c r="D6">
        <f t="shared" si="0"/>
        <v>15.605818399044205</v>
      </c>
      <c r="E6">
        <f t="shared" si="0"/>
        <v>18.286266968325791</v>
      </c>
      <c r="F6">
        <f t="shared" si="0"/>
        <v>17.815211406096363</v>
      </c>
      <c r="G6">
        <f t="shared" si="0"/>
        <v>20.73052104208417</v>
      </c>
      <c r="J6" s="41" t="s">
        <v>144</v>
      </c>
      <c r="K6" s="41"/>
      <c r="L6" s="41"/>
      <c r="M6" s="41"/>
      <c r="N6" s="41"/>
      <c r="O6" s="41"/>
    </row>
    <row r="7" spans="1:16" x14ac:dyDescent="0.35">
      <c r="J7" s="41" t="s">
        <v>145</v>
      </c>
      <c r="K7" s="41"/>
      <c r="L7" s="41"/>
      <c r="M7" s="41"/>
      <c r="N7" s="41"/>
      <c r="O7" s="41"/>
    </row>
    <row r="8" spans="1:16" x14ac:dyDescent="0.35">
      <c r="J8" s="39" t="s">
        <v>146</v>
      </c>
      <c r="K8" s="39"/>
      <c r="L8" s="39"/>
      <c r="M8" s="39"/>
      <c r="N8" s="39"/>
      <c r="O8" s="39"/>
      <c r="P8" s="39"/>
    </row>
    <row r="9" spans="1:16" x14ac:dyDescent="0.35">
      <c r="A9" t="s">
        <v>114</v>
      </c>
      <c r="B9" s="11">
        <v>296</v>
      </c>
      <c r="C9" s="11">
        <v>546</v>
      </c>
      <c r="D9" s="11">
        <v>832</v>
      </c>
      <c r="E9" s="11">
        <v>863</v>
      </c>
      <c r="F9" s="11">
        <v>978</v>
      </c>
      <c r="G9" s="11">
        <v>960</v>
      </c>
    </row>
    <row r="10" spans="1:16" x14ac:dyDescent="0.35">
      <c r="A10" t="s">
        <v>97</v>
      </c>
      <c r="B10">
        <f t="shared" ref="B10:G10" si="1">B4/B9</f>
        <v>1.2905405405405406</v>
      </c>
      <c r="C10">
        <f t="shared" si="1"/>
        <v>1.054945054945055</v>
      </c>
      <c r="D10">
        <f t="shared" si="1"/>
        <v>1.0060096153846154</v>
      </c>
      <c r="E10">
        <f t="shared" si="1"/>
        <v>1.0243337195828506</v>
      </c>
      <c r="F10">
        <f t="shared" si="1"/>
        <v>1.0398773006134969</v>
      </c>
      <c r="G10" s="32">
        <f t="shared" si="1"/>
        <v>1.0395833333333333</v>
      </c>
      <c r="J10" s="41" t="s">
        <v>148</v>
      </c>
      <c r="K10" s="41"/>
      <c r="L10" s="41"/>
      <c r="M10" s="41"/>
    </row>
    <row r="11" spans="1:16" x14ac:dyDescent="0.35">
      <c r="J11" s="41" t="s">
        <v>149</v>
      </c>
      <c r="K11" s="41"/>
      <c r="L11" s="41"/>
      <c r="M11" s="41"/>
    </row>
    <row r="12" spans="1:16" x14ac:dyDescent="0.35">
      <c r="A12" t="s">
        <v>126</v>
      </c>
      <c r="B12">
        <f t="shared" ref="B12:G12" si="2">B6*B10</f>
        <v>26.088074324324324</v>
      </c>
      <c r="C12">
        <f t="shared" si="2"/>
        <v>15.566080586080586</v>
      </c>
      <c r="D12">
        <f t="shared" si="2"/>
        <v>15.699603365384615</v>
      </c>
      <c r="E12">
        <f t="shared" si="2"/>
        <v>18.731239860950172</v>
      </c>
      <c r="F12">
        <f t="shared" si="2"/>
        <v>18.525633946830268</v>
      </c>
      <c r="G12">
        <f t="shared" si="2"/>
        <v>21.551104166666669</v>
      </c>
    </row>
    <row r="14" spans="1:16" x14ac:dyDescent="0.35">
      <c r="J14" s="42">
        <v>277524564</v>
      </c>
      <c r="K14" s="42" t="s">
        <v>147</v>
      </c>
      <c r="L14" s="42"/>
      <c r="M14" s="42"/>
      <c r="N14" s="42"/>
      <c r="O14" s="42"/>
    </row>
    <row r="15" spans="1:16" x14ac:dyDescent="0.35">
      <c r="J15" s="42" t="s">
        <v>282</v>
      </c>
      <c r="K15" s="42"/>
      <c r="L15" s="42"/>
      <c r="M15" s="42"/>
      <c r="N15" s="42"/>
    </row>
    <row r="16" spans="1:16" x14ac:dyDescent="0.35">
      <c r="J16" s="41" t="s">
        <v>150</v>
      </c>
      <c r="K16" s="41"/>
      <c r="L16" s="41"/>
      <c r="M16" s="41"/>
    </row>
    <row r="17" spans="4:23" x14ac:dyDescent="0.35"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</row>
    <row r="19" spans="4:23" x14ac:dyDescent="0.35">
      <c r="D19" s="61" t="s">
        <v>310</v>
      </c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</row>
  </sheetData>
  <mergeCells count="2">
    <mergeCell ref="D17:U17"/>
    <mergeCell ref="D19:W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6D58-2BB1-40A8-8BEF-AB68042EAFE4}">
  <dimension ref="A1:T14"/>
  <sheetViews>
    <sheetView zoomScale="90" workbookViewId="0">
      <selection activeCell="A23" sqref="A23"/>
    </sheetView>
  </sheetViews>
  <sheetFormatPr defaultRowHeight="14.5" x14ac:dyDescent="0.35"/>
  <cols>
    <col min="1" max="1" width="16.54296875" customWidth="1"/>
    <col min="8" max="8" width="22.7265625" customWidth="1"/>
    <col min="14" max="14" width="12.08984375" customWidth="1"/>
  </cols>
  <sheetData>
    <row r="1" spans="1:20" x14ac:dyDescent="0.35">
      <c r="A1" s="41" t="s">
        <v>242</v>
      </c>
      <c r="B1" s="41"/>
      <c r="C1" s="41"/>
      <c r="D1" s="41"/>
      <c r="E1" s="41"/>
      <c r="F1" s="41"/>
      <c r="G1" s="41"/>
      <c r="H1" s="41"/>
      <c r="I1" s="41"/>
    </row>
    <row r="2" spans="1:20" x14ac:dyDescent="0.35">
      <c r="A2" s="41"/>
      <c r="B2" s="41"/>
      <c r="C2" s="41"/>
      <c r="D2" s="41"/>
      <c r="E2" s="41"/>
      <c r="F2" s="41"/>
      <c r="G2" s="41"/>
      <c r="H2" s="41"/>
      <c r="I2" s="41"/>
    </row>
    <row r="3" spans="1:20" x14ac:dyDescent="0.35">
      <c r="A3" s="41" t="s">
        <v>225</v>
      </c>
      <c r="B3" s="41"/>
      <c r="C3" s="41"/>
      <c r="D3" s="41"/>
      <c r="E3" s="41"/>
      <c r="F3" s="41"/>
      <c r="G3" s="41"/>
      <c r="H3" s="41"/>
      <c r="I3" s="41"/>
    </row>
    <row r="4" spans="1:20" x14ac:dyDescent="0.35">
      <c r="A4" s="41" t="s">
        <v>226</v>
      </c>
      <c r="B4" s="41"/>
      <c r="C4" s="41"/>
      <c r="D4" s="41"/>
      <c r="E4" s="41"/>
      <c r="F4" s="41"/>
      <c r="G4" s="41"/>
      <c r="H4" s="41"/>
      <c r="I4" s="41"/>
      <c r="K4" s="42" t="s">
        <v>117</v>
      </c>
      <c r="L4" s="42"/>
      <c r="M4" s="42"/>
      <c r="N4" s="42"/>
      <c r="O4" s="42"/>
      <c r="P4" s="42"/>
      <c r="Q4" s="42"/>
    </row>
    <row r="5" spans="1:20" x14ac:dyDescent="0.35">
      <c r="A5" s="41" t="s">
        <v>227</v>
      </c>
      <c r="B5" s="41"/>
      <c r="C5" s="41"/>
      <c r="D5" s="41"/>
      <c r="E5" s="41"/>
      <c r="F5" s="41"/>
      <c r="G5" s="41"/>
      <c r="H5" s="41"/>
      <c r="I5" s="41"/>
      <c r="K5" s="42"/>
      <c r="L5" s="42"/>
      <c r="M5" s="42"/>
      <c r="N5" s="42"/>
      <c r="O5" s="42"/>
      <c r="P5" s="42"/>
      <c r="Q5" s="42"/>
    </row>
    <row r="6" spans="1:20" x14ac:dyDescent="0.35">
      <c r="A6" s="41"/>
      <c r="B6" s="41"/>
      <c r="C6" s="41"/>
      <c r="D6" s="41"/>
      <c r="E6" s="41"/>
      <c r="F6" s="41"/>
      <c r="G6" s="41"/>
      <c r="H6" s="41"/>
      <c r="I6" s="41"/>
      <c r="K6" s="42" t="s">
        <v>118</v>
      </c>
      <c r="L6" s="42"/>
      <c r="M6" s="42"/>
      <c r="N6" s="42"/>
      <c r="O6" s="42"/>
      <c r="P6" s="42"/>
      <c r="Q6" s="42"/>
    </row>
    <row r="7" spans="1:20" x14ac:dyDescent="0.35">
      <c r="A7" s="41"/>
      <c r="B7" s="41"/>
      <c r="C7" s="41"/>
      <c r="D7" s="41"/>
      <c r="E7" s="41"/>
      <c r="F7" s="41"/>
      <c r="G7" s="41"/>
      <c r="H7" s="41"/>
      <c r="I7" s="41"/>
      <c r="K7" s="41" t="s">
        <v>231</v>
      </c>
      <c r="L7" s="41"/>
      <c r="M7" s="41"/>
      <c r="N7" s="41"/>
      <c r="O7" s="41" t="s">
        <v>119</v>
      </c>
      <c r="P7" s="41"/>
      <c r="Q7" s="41"/>
      <c r="R7" s="41"/>
      <c r="S7" s="41"/>
      <c r="T7" s="41"/>
    </row>
    <row r="8" spans="1:20" x14ac:dyDescent="0.35">
      <c r="A8" s="41" t="s">
        <v>228</v>
      </c>
      <c r="B8" s="41"/>
      <c r="C8" s="41"/>
      <c r="D8" s="41"/>
      <c r="E8" s="41"/>
      <c r="F8" s="41"/>
      <c r="G8" s="41"/>
      <c r="H8" s="41"/>
      <c r="I8" s="41"/>
    </row>
    <row r="9" spans="1:20" x14ac:dyDescent="0.35">
      <c r="A9" s="41" t="s">
        <v>229</v>
      </c>
      <c r="B9" s="41"/>
      <c r="C9" s="41"/>
      <c r="D9" s="41"/>
      <c r="E9" s="41"/>
      <c r="F9" s="41"/>
      <c r="G9" s="41"/>
      <c r="H9" s="41"/>
      <c r="I9" s="41"/>
      <c r="M9" s="42" t="s">
        <v>120</v>
      </c>
      <c r="N9" s="42"/>
      <c r="O9" s="42"/>
      <c r="P9" s="42"/>
    </row>
    <row r="10" spans="1:20" x14ac:dyDescent="0.35">
      <c r="A10" s="41"/>
      <c r="B10" s="41"/>
      <c r="C10" s="41"/>
      <c r="D10" s="41"/>
      <c r="E10" s="41"/>
      <c r="F10" s="41"/>
      <c r="G10" s="41"/>
      <c r="H10" s="41"/>
      <c r="I10" s="41"/>
    </row>
    <row r="11" spans="1:20" x14ac:dyDescent="0.35">
      <c r="A11" s="50" t="s">
        <v>121</v>
      </c>
      <c r="B11" s="41"/>
      <c r="C11" s="41"/>
      <c r="D11" s="41"/>
      <c r="E11" s="41"/>
      <c r="F11" s="41"/>
      <c r="G11" s="41"/>
      <c r="H11" s="41"/>
      <c r="I11" s="41"/>
    </row>
    <row r="12" spans="1:20" x14ac:dyDescent="0.35">
      <c r="A12" s="41" t="s">
        <v>230</v>
      </c>
      <c r="B12" s="41"/>
      <c r="C12" s="41"/>
      <c r="D12" s="41"/>
      <c r="E12" s="41"/>
      <c r="F12" s="41"/>
      <c r="G12" s="41"/>
      <c r="H12" s="41"/>
      <c r="I12" s="41"/>
    </row>
    <row r="13" spans="1:20" x14ac:dyDescent="0.35">
      <c r="A13" s="42" t="s">
        <v>122</v>
      </c>
      <c r="B13" s="42"/>
      <c r="C13" s="42"/>
      <c r="D13" s="42"/>
      <c r="E13" s="42"/>
      <c r="F13" s="42"/>
      <c r="G13" s="42"/>
      <c r="H13" s="42"/>
      <c r="I13" s="42" t="s">
        <v>123</v>
      </c>
      <c r="J13" s="42"/>
    </row>
    <row r="14" spans="1:20" x14ac:dyDescent="0.35">
      <c r="A14" s="42" t="s">
        <v>124</v>
      </c>
      <c r="B14" s="42"/>
      <c r="C14" s="42"/>
      <c r="D14" s="42"/>
      <c r="E14" s="42"/>
      <c r="F14" s="42"/>
      <c r="G14" s="42"/>
      <c r="H14" s="42"/>
      <c r="I14" s="42"/>
      <c r="J14" s="4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A4A6-A857-4B34-A7B0-7700B32658B4}">
  <dimension ref="A1:S27"/>
  <sheetViews>
    <sheetView workbookViewId="0">
      <selection activeCell="E7" sqref="E7"/>
    </sheetView>
  </sheetViews>
  <sheetFormatPr defaultRowHeight="14.5" x14ac:dyDescent="0.35"/>
  <cols>
    <col min="2" max="2" width="18.36328125" customWidth="1"/>
    <col min="9" max="9" width="12.08984375" bestFit="1" customWidth="1"/>
  </cols>
  <sheetData>
    <row r="1" spans="1:19" x14ac:dyDescent="0.35">
      <c r="A1" s="54" t="s">
        <v>243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 x14ac:dyDescent="0.3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19" x14ac:dyDescent="0.3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5" spans="1:19" x14ac:dyDescent="0.35">
      <c r="A5" t="s">
        <v>155</v>
      </c>
    </row>
    <row r="7" spans="1:19" x14ac:dyDescent="0.35">
      <c r="A7" t="s">
        <v>156</v>
      </c>
      <c r="C7">
        <f>5000</f>
        <v>5000</v>
      </c>
    </row>
    <row r="8" spans="1:19" x14ac:dyDescent="0.35">
      <c r="B8" t="s">
        <v>157</v>
      </c>
      <c r="C8" t="s">
        <v>158</v>
      </c>
      <c r="D8" t="s">
        <v>159</v>
      </c>
    </row>
    <row r="9" spans="1:19" x14ac:dyDescent="0.35">
      <c r="B9" s="36">
        <v>0.3</v>
      </c>
      <c r="C9">
        <v>20000</v>
      </c>
      <c r="D9" t="s">
        <v>160</v>
      </c>
    </row>
    <row r="10" spans="1:19" x14ac:dyDescent="0.35">
      <c r="B10" s="36">
        <v>0.3</v>
      </c>
      <c r="C10">
        <v>20000</v>
      </c>
      <c r="D10" t="s">
        <v>161</v>
      </c>
    </row>
    <row r="11" spans="1:19" x14ac:dyDescent="0.35">
      <c r="B11" t="s">
        <v>162</v>
      </c>
    </row>
    <row r="12" spans="1:19" x14ac:dyDescent="0.35">
      <c r="B12" t="s">
        <v>167</v>
      </c>
    </row>
    <row r="13" spans="1:19" x14ac:dyDescent="0.35">
      <c r="B13" t="s">
        <v>166</v>
      </c>
    </row>
    <row r="14" spans="1:19" x14ac:dyDescent="0.35">
      <c r="B14" t="s">
        <v>163</v>
      </c>
      <c r="C14" t="s">
        <v>164</v>
      </c>
    </row>
    <row r="15" spans="1:19" x14ac:dyDescent="0.35">
      <c r="C15" t="s">
        <v>165</v>
      </c>
    </row>
    <row r="16" spans="1:19" x14ac:dyDescent="0.35">
      <c r="B16" t="s">
        <v>168</v>
      </c>
    </row>
    <row r="17" spans="1:3" x14ac:dyDescent="0.35">
      <c r="B17" t="s">
        <v>169</v>
      </c>
    </row>
    <row r="18" spans="1:3" x14ac:dyDescent="0.35">
      <c r="B18" t="s">
        <v>170</v>
      </c>
    </row>
    <row r="20" spans="1:3" x14ac:dyDescent="0.35">
      <c r="A20" t="s">
        <v>171</v>
      </c>
      <c r="B20" t="s">
        <v>172</v>
      </c>
      <c r="C20" t="s">
        <v>173</v>
      </c>
    </row>
    <row r="22" spans="1:3" x14ac:dyDescent="0.35">
      <c r="A22" t="s">
        <v>174</v>
      </c>
      <c r="B22" t="s">
        <v>175</v>
      </c>
      <c r="C22" s="36">
        <v>0.21</v>
      </c>
    </row>
    <row r="24" spans="1:3" x14ac:dyDescent="0.35">
      <c r="B24" t="s">
        <v>176</v>
      </c>
    </row>
    <row r="25" spans="1:3" x14ac:dyDescent="0.35">
      <c r="B25" t="s">
        <v>177</v>
      </c>
    </row>
    <row r="26" spans="1:3" x14ac:dyDescent="0.35">
      <c r="B26" t="s">
        <v>178</v>
      </c>
    </row>
    <row r="27" spans="1:3" x14ac:dyDescent="0.35">
      <c r="B27" t="s">
        <v>179</v>
      </c>
    </row>
  </sheetData>
  <mergeCells count="1">
    <mergeCell ref="A1:S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ADF8-4958-41A4-A334-41F5A5D89D6D}">
  <dimension ref="A1:V23"/>
  <sheetViews>
    <sheetView workbookViewId="0">
      <selection activeCell="I26" sqref="I26"/>
    </sheetView>
  </sheetViews>
  <sheetFormatPr defaultRowHeight="14.5" x14ac:dyDescent="0.35"/>
  <cols>
    <col min="1" max="1" width="24.1796875" bestFit="1" customWidth="1"/>
    <col min="2" max="2" width="12.7265625" bestFit="1" customWidth="1"/>
  </cols>
  <sheetData>
    <row r="1" spans="1:22" x14ac:dyDescent="0.35">
      <c r="B1" s="55" t="s">
        <v>244</v>
      </c>
      <c r="C1" s="55"/>
    </row>
    <row r="2" spans="1:22" x14ac:dyDescent="0.35">
      <c r="B2" s="43">
        <v>43891</v>
      </c>
      <c r="C2" s="43">
        <v>44256</v>
      </c>
      <c r="D2" s="43">
        <v>44621</v>
      </c>
      <c r="E2" s="43">
        <v>44986</v>
      </c>
      <c r="F2" s="43">
        <v>45352</v>
      </c>
      <c r="G2" s="43">
        <v>45717</v>
      </c>
    </row>
    <row r="3" spans="1:22" x14ac:dyDescent="0.35">
      <c r="A3" s="41" t="s">
        <v>245</v>
      </c>
      <c r="B3" s="41" t="s">
        <v>249</v>
      </c>
    </row>
    <row r="4" spans="1:22" x14ac:dyDescent="0.35">
      <c r="A4" t="s">
        <v>246</v>
      </c>
      <c r="B4" s="11">
        <v>296</v>
      </c>
      <c r="C4" s="11">
        <v>546</v>
      </c>
      <c r="D4" s="11">
        <v>832</v>
      </c>
      <c r="E4" s="11">
        <v>863</v>
      </c>
      <c r="F4" s="11">
        <v>978</v>
      </c>
      <c r="G4" s="11">
        <v>960</v>
      </c>
    </row>
    <row r="5" spans="1:22" x14ac:dyDescent="0.35">
      <c r="A5" t="s">
        <v>247</v>
      </c>
      <c r="B5" s="11">
        <v>107</v>
      </c>
      <c r="C5" s="11">
        <v>66</v>
      </c>
      <c r="D5" s="11">
        <v>44</v>
      </c>
      <c r="E5" s="11">
        <v>67</v>
      </c>
      <c r="F5" s="11">
        <v>113</v>
      </c>
      <c r="G5" s="11">
        <v>133</v>
      </c>
    </row>
    <row r="6" spans="1:22" x14ac:dyDescent="0.35">
      <c r="A6" t="s">
        <v>113</v>
      </c>
      <c r="B6">
        <f>B4+B5</f>
        <v>403</v>
      </c>
      <c r="C6">
        <f t="shared" ref="C6:G6" si="0">C4+C5</f>
        <v>612</v>
      </c>
      <c r="D6">
        <f t="shared" si="0"/>
        <v>876</v>
      </c>
      <c r="E6">
        <f t="shared" si="0"/>
        <v>930</v>
      </c>
      <c r="F6">
        <f t="shared" si="0"/>
        <v>1091</v>
      </c>
      <c r="G6">
        <f t="shared" si="0"/>
        <v>1093</v>
      </c>
      <c r="K6" s="41" t="s">
        <v>286</v>
      </c>
      <c r="L6" s="41" t="s">
        <v>250</v>
      </c>
      <c r="M6" s="41"/>
      <c r="N6" s="41"/>
      <c r="O6" s="41"/>
      <c r="P6" s="41"/>
      <c r="Q6" s="41"/>
      <c r="R6" s="41"/>
    </row>
    <row r="7" spans="1:22" x14ac:dyDescent="0.35">
      <c r="A7" t="s">
        <v>248</v>
      </c>
      <c r="B7" s="12">
        <v>0.14000000000000001</v>
      </c>
      <c r="C7" s="12">
        <v>0.25</v>
      </c>
      <c r="D7" s="12">
        <v>0.26</v>
      </c>
      <c r="E7" s="12">
        <v>0.26</v>
      </c>
      <c r="F7" s="12">
        <v>0.25</v>
      </c>
      <c r="G7" s="12">
        <v>0.21</v>
      </c>
      <c r="K7" s="41" t="s">
        <v>287</v>
      </c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</row>
    <row r="8" spans="1:22" x14ac:dyDescent="0.35">
      <c r="A8" t="s">
        <v>263</v>
      </c>
      <c r="B8">
        <f>B6*(1-B7)</f>
        <v>346.58</v>
      </c>
      <c r="C8">
        <f t="shared" ref="C8:G8" si="1">C6*(1-C7)</f>
        <v>459</v>
      </c>
      <c r="D8">
        <f t="shared" si="1"/>
        <v>648.24</v>
      </c>
      <c r="E8">
        <f t="shared" si="1"/>
        <v>688.2</v>
      </c>
      <c r="F8">
        <f t="shared" si="1"/>
        <v>818.25</v>
      </c>
      <c r="G8">
        <f t="shared" si="1"/>
        <v>863.47</v>
      </c>
    </row>
    <row r="9" spans="1:22" x14ac:dyDescent="0.35">
      <c r="A9" t="s">
        <v>12</v>
      </c>
      <c r="B9" s="7">
        <v>96</v>
      </c>
      <c r="C9" s="7">
        <v>103</v>
      </c>
      <c r="D9" s="7">
        <v>109</v>
      </c>
      <c r="E9" s="7">
        <v>138</v>
      </c>
      <c r="F9" s="7">
        <v>176</v>
      </c>
      <c r="G9" s="7">
        <v>201</v>
      </c>
    </row>
    <row r="10" spans="1:22" x14ac:dyDescent="0.35">
      <c r="A10" s="41" t="s">
        <v>251</v>
      </c>
      <c r="B10" s="56" t="s">
        <v>252</v>
      </c>
      <c r="C10" s="56"/>
      <c r="D10" s="56"/>
      <c r="E10" s="56"/>
      <c r="F10" s="56"/>
      <c r="G10" s="56"/>
    </row>
    <row r="11" spans="1:22" x14ac:dyDescent="0.35">
      <c r="A11" t="s">
        <v>253</v>
      </c>
      <c r="B11" s="31">
        <v>1515.47</v>
      </c>
      <c r="C11" s="31">
        <v>1849.62</v>
      </c>
      <c r="D11" s="31">
        <v>2137.81</v>
      </c>
      <c r="E11" s="31">
        <v>2557.77</v>
      </c>
      <c r="F11" s="31">
        <v>3341.36</v>
      </c>
      <c r="G11" s="32">
        <v>3467</v>
      </c>
    </row>
    <row r="12" spans="1:22" x14ac:dyDescent="0.35">
      <c r="A12" t="s">
        <v>254</v>
      </c>
      <c r="B12" s="31">
        <v>1152.48</v>
      </c>
      <c r="C12" s="31">
        <v>1412.93</v>
      </c>
      <c r="D12" s="33">
        <v>1742.64</v>
      </c>
      <c r="E12" s="31">
        <v>2180.25</v>
      </c>
      <c r="F12" s="31">
        <v>2495.42</v>
      </c>
      <c r="G12" s="32">
        <v>2753</v>
      </c>
    </row>
    <row r="13" spans="1:22" x14ac:dyDescent="0.35">
      <c r="A13" t="s">
        <v>255</v>
      </c>
      <c r="B13" s="31">
        <f>B11-B12</f>
        <v>362.99</v>
      </c>
      <c r="C13" s="31">
        <f t="shared" ref="C13:G13" si="2">C11-C12</f>
        <v>436.68999999999983</v>
      </c>
      <c r="D13" s="31">
        <f t="shared" si="2"/>
        <v>395.16999999999985</v>
      </c>
      <c r="E13" s="31">
        <f t="shared" si="2"/>
        <v>377.52</v>
      </c>
      <c r="F13" s="31">
        <f t="shared" si="2"/>
        <v>845.94</v>
      </c>
      <c r="G13" s="31">
        <f t="shared" si="2"/>
        <v>714</v>
      </c>
    </row>
    <row r="14" spans="1:22" x14ac:dyDescent="0.35">
      <c r="A14" s="41" t="s">
        <v>256</v>
      </c>
      <c r="B14" s="41" t="s">
        <v>257</v>
      </c>
      <c r="C14" s="41"/>
      <c r="D14" s="41"/>
      <c r="E14" s="41"/>
      <c r="F14" s="41"/>
      <c r="G14" s="41"/>
      <c r="H14" s="59"/>
    </row>
    <row r="15" spans="1:22" x14ac:dyDescent="0.35">
      <c r="C15" s="31">
        <f>C13-B13</f>
        <v>73.699999999999818</v>
      </c>
      <c r="D15" s="31">
        <f t="shared" ref="D15:G15" si="3">D13-C13</f>
        <v>-41.519999999999982</v>
      </c>
      <c r="E15" s="31">
        <f t="shared" si="3"/>
        <v>-17.649999999999864</v>
      </c>
      <c r="F15" s="31">
        <f t="shared" si="3"/>
        <v>468.42000000000007</v>
      </c>
      <c r="G15" s="31">
        <f t="shared" si="3"/>
        <v>-131.94000000000005</v>
      </c>
    </row>
    <row r="16" spans="1:22" x14ac:dyDescent="0.35">
      <c r="A16" s="41" t="s">
        <v>258</v>
      </c>
      <c r="B16" s="41" t="s">
        <v>259</v>
      </c>
      <c r="C16" s="41"/>
      <c r="D16" s="41"/>
      <c r="E16" s="41"/>
      <c r="F16" s="41"/>
      <c r="G16" s="41"/>
    </row>
    <row r="17" spans="1:9" x14ac:dyDescent="0.35">
      <c r="A17" t="s">
        <v>260</v>
      </c>
      <c r="B17" s="15">
        <v>1708</v>
      </c>
      <c r="C17" s="15">
        <v>1736</v>
      </c>
      <c r="D17" s="15">
        <v>1837</v>
      </c>
      <c r="E17" s="15">
        <v>2580</v>
      </c>
      <c r="F17" s="15">
        <v>3281</v>
      </c>
      <c r="G17" s="15">
        <v>3668</v>
      </c>
    </row>
    <row r="18" spans="1:9" x14ac:dyDescent="0.35">
      <c r="A18" t="s">
        <v>261</v>
      </c>
      <c r="C18" s="32">
        <f>C17-B17</f>
        <v>28</v>
      </c>
      <c r="D18" s="32">
        <f t="shared" ref="D18:G18" si="4">D17-C17</f>
        <v>101</v>
      </c>
      <c r="E18" s="32">
        <f t="shared" si="4"/>
        <v>743</v>
      </c>
      <c r="F18" s="32">
        <f t="shared" si="4"/>
        <v>701</v>
      </c>
      <c r="G18" s="32">
        <f t="shared" si="4"/>
        <v>387</v>
      </c>
    </row>
    <row r="19" spans="1:9" x14ac:dyDescent="0.35">
      <c r="A19" t="s">
        <v>12</v>
      </c>
      <c r="B19" s="7">
        <v>96</v>
      </c>
      <c r="C19" s="7">
        <v>103</v>
      </c>
      <c r="D19" s="7">
        <v>109</v>
      </c>
      <c r="E19" s="7">
        <v>138</v>
      </c>
      <c r="F19" s="7">
        <v>176</v>
      </c>
      <c r="G19" s="7">
        <v>201</v>
      </c>
    </row>
    <row r="20" spans="1:9" x14ac:dyDescent="0.35">
      <c r="A20" t="s">
        <v>258</v>
      </c>
      <c r="B20">
        <f>B18+B19</f>
        <v>96</v>
      </c>
      <c r="C20">
        <f t="shared" ref="C20:G20" si="5">C18+C19</f>
        <v>131</v>
      </c>
      <c r="D20">
        <f t="shared" si="5"/>
        <v>210</v>
      </c>
      <c r="E20">
        <f t="shared" si="5"/>
        <v>881</v>
      </c>
      <c r="F20">
        <f t="shared" si="5"/>
        <v>877</v>
      </c>
      <c r="G20">
        <f t="shared" si="5"/>
        <v>588</v>
      </c>
    </row>
    <row r="21" spans="1:9" x14ac:dyDescent="0.35">
      <c r="A21" t="s">
        <v>290</v>
      </c>
      <c r="B21" s="35"/>
      <c r="C21" s="35"/>
      <c r="D21" s="35"/>
      <c r="E21" s="35"/>
      <c r="F21" s="35"/>
      <c r="G21" s="35"/>
      <c r="I21" s="60"/>
    </row>
    <row r="22" spans="1:9" x14ac:dyDescent="0.35">
      <c r="A22" t="s">
        <v>262</v>
      </c>
      <c r="B22" s="31">
        <f>B8+B19-B20-B13</f>
        <v>-16.410000000000025</v>
      </c>
      <c r="C22" s="31">
        <f t="shared" ref="C22:G22" si="6">C8+C19-C20-C13</f>
        <v>-5.6899999999998272</v>
      </c>
      <c r="D22" s="31">
        <f t="shared" si="6"/>
        <v>152.07000000000016</v>
      </c>
      <c r="E22" s="31">
        <f t="shared" si="6"/>
        <v>-432.31999999999994</v>
      </c>
      <c r="F22" s="31">
        <f t="shared" si="6"/>
        <v>-728.69</v>
      </c>
      <c r="G22" s="31">
        <f t="shared" si="6"/>
        <v>-237.52999999999997</v>
      </c>
    </row>
    <row r="23" spans="1:9" x14ac:dyDescent="0.35">
      <c r="A23" t="s">
        <v>289</v>
      </c>
      <c r="B23" s="37">
        <f>NPV(10%,B20,G20)</f>
        <v>573.22314049586771</v>
      </c>
    </row>
  </sheetData>
  <mergeCells count="2">
    <mergeCell ref="B1:C1"/>
    <mergeCell ref="B10:G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9681-FB8F-4279-B0DF-22325F06B303}">
  <dimension ref="A1:J1017"/>
  <sheetViews>
    <sheetView workbookViewId="0">
      <selection activeCell="F12" sqref="F12"/>
    </sheetView>
  </sheetViews>
  <sheetFormatPr defaultRowHeight="14.5" x14ac:dyDescent="0.35"/>
  <cols>
    <col min="1" max="1" width="17.08984375" bestFit="1" customWidth="1"/>
    <col min="3" max="3" width="17.08984375" bestFit="1" customWidth="1"/>
    <col min="4" max="4" width="17.7265625" customWidth="1"/>
    <col min="5" max="5" width="17.08984375" bestFit="1" customWidth="1"/>
    <col min="6" max="6" width="27.54296875" customWidth="1"/>
    <col min="7" max="7" width="17.81640625" customWidth="1"/>
    <col min="8" max="9" width="27" customWidth="1"/>
  </cols>
  <sheetData>
    <row r="1" spans="1:10" ht="18.5" x14ac:dyDescent="0.45">
      <c r="A1" s="58" t="s">
        <v>285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x14ac:dyDescent="0.35">
      <c r="B2" s="41" t="s">
        <v>265</v>
      </c>
      <c r="C2" s="41" t="s">
        <v>266</v>
      </c>
      <c r="D2" s="41" t="s">
        <v>267</v>
      </c>
      <c r="E2" s="41" t="s">
        <v>268</v>
      </c>
      <c r="F2" s="41" t="s">
        <v>269</v>
      </c>
      <c r="G2" s="41" t="s">
        <v>276</v>
      </c>
      <c r="H2" s="41" t="s">
        <v>277</v>
      </c>
      <c r="I2" s="41" t="s">
        <v>279</v>
      </c>
      <c r="J2" s="41" t="s">
        <v>280</v>
      </c>
    </row>
    <row r="3" spans="1:10" x14ac:dyDescent="0.35">
      <c r="A3" s="52" t="s">
        <v>264</v>
      </c>
      <c r="B3">
        <f>AVERAGE(fcff!B4:G4)</f>
        <v>745.83333333333337</v>
      </c>
      <c r="C3">
        <f>AVERAGE(fcff!B5:G5)</f>
        <v>88.333333333333329</v>
      </c>
      <c r="D3">
        <f>AVERAGE(fcff!B6:G6)</f>
        <v>834.16666666666663</v>
      </c>
      <c r="E3" s="36">
        <f>AVERAGE(fcff!B7:G7)</f>
        <v>0.22833333333333336</v>
      </c>
      <c r="F3">
        <f>AVERAGE(fcff!B8:G8)</f>
        <v>637.29</v>
      </c>
      <c r="G3">
        <f>AVERAGE(fcff!B9:G9)</f>
        <v>137.16666666666666</v>
      </c>
      <c r="H3" s="31">
        <f>AVERAGE(fcff!C15:G15)</f>
        <v>70.201999999999998</v>
      </c>
      <c r="I3">
        <f>AVERAGE(fcff!B20:G20)</f>
        <v>463.83333333333331</v>
      </c>
      <c r="J3" s="31">
        <f>AVERAGE(fcff!B22:G22)</f>
        <v>-211.42833333333328</v>
      </c>
    </row>
    <row r="4" spans="1:10" x14ac:dyDescent="0.35">
      <c r="A4" s="52" t="s">
        <v>278</v>
      </c>
      <c r="B4">
        <f>_xlfn.STDEV.S(fcff!B4:G4)</f>
        <v>269.5198817650874</v>
      </c>
      <c r="C4">
        <f>_xlfn.STDEV.S(fcff!B5:G5)</f>
        <v>34.267574566442065</v>
      </c>
      <c r="D4">
        <f>_xlfn.STDEV.S(fcff!B6:G6)</f>
        <v>275.37423021529577</v>
      </c>
      <c r="E4">
        <f>_xlfn.STDEV.S(fcff!B7:G7)</f>
        <v>4.7081489639418335E-2</v>
      </c>
      <c r="F4">
        <f>_xlfn.STDEV.S(fcff!B8:G8)</f>
        <v>201.45236300425961</v>
      </c>
      <c r="G4">
        <f>_xlfn.STDEV.S(fcff!B9:G9)</f>
        <v>42.985656522457184</v>
      </c>
      <c r="H4">
        <f>_xlfn.STDEV.S(fcff!C15:G15)</f>
        <v>234.33468526874123</v>
      </c>
      <c r="I4">
        <f>_xlfn.STDEV.S(fcff!B20:G20)</f>
        <v>366.24113186078193</v>
      </c>
      <c r="J4">
        <f>_xlfn.STDEV.S(fcff!B22:G22)</f>
        <v>325.43064013191309</v>
      </c>
    </row>
    <row r="5" spans="1:10" x14ac:dyDescent="0.35">
      <c r="A5" s="52"/>
    </row>
    <row r="6" spans="1:10" x14ac:dyDescent="0.35">
      <c r="A6" s="52" t="s">
        <v>283</v>
      </c>
      <c r="B6">
        <f ca="1">_xlfn.NORM.INV(RAND(),B3,B4)</f>
        <v>805.06512630063469</v>
      </c>
      <c r="C6">
        <f t="shared" ref="C6:H6" ca="1" si="0">_xlfn.NORM.INV(RAND(),C3,C4)</f>
        <v>94.773145843981524</v>
      </c>
      <c r="D6">
        <f t="shared" ca="1" si="0"/>
        <v>1303.683288478335</v>
      </c>
      <c r="E6">
        <f t="shared" ca="1" si="0"/>
        <v>0.25137421561347401</v>
      </c>
      <c r="F6">
        <f t="shared" ca="1" si="0"/>
        <v>457.22322688087144</v>
      </c>
      <c r="G6">
        <f t="shared" ca="1" si="0"/>
        <v>124.78681753221639</v>
      </c>
      <c r="H6">
        <f t="shared" ca="1" si="0"/>
        <v>83.161650585235307</v>
      </c>
      <c r="I6">
        <f ca="1">_xlfn.NORM.INV(RAND(),I3,I4)</f>
        <v>545.45111310954564</v>
      </c>
      <c r="J6">
        <f ca="1">_xlfn.NORM.INV(RAND(),J3,J4)</f>
        <v>-15.900519581757095</v>
      </c>
    </row>
    <row r="8" spans="1:10" x14ac:dyDescent="0.35">
      <c r="A8" s="51" t="s">
        <v>271</v>
      </c>
      <c r="B8" s="41" t="s">
        <v>131</v>
      </c>
      <c r="C8" s="51" t="s">
        <v>271</v>
      </c>
      <c r="D8" s="41" t="s">
        <v>276</v>
      </c>
      <c r="E8" s="51" t="s">
        <v>271</v>
      </c>
      <c r="F8" s="41" t="s">
        <v>277</v>
      </c>
      <c r="G8" s="51" t="s">
        <v>271</v>
      </c>
      <c r="H8" s="41" t="s">
        <v>279</v>
      </c>
      <c r="I8" s="51" t="s">
        <v>271</v>
      </c>
      <c r="J8" s="41" t="s">
        <v>280</v>
      </c>
    </row>
    <row r="9" spans="1:10" x14ac:dyDescent="0.35">
      <c r="A9">
        <v>1</v>
      </c>
      <c r="B9">
        <f ca="1">F6</f>
        <v>457.22322688087144</v>
      </c>
      <c r="C9">
        <v>1</v>
      </c>
      <c r="D9">
        <f ca="1">F6</f>
        <v>457.22322688087144</v>
      </c>
      <c r="E9">
        <v>1</v>
      </c>
      <c r="F9">
        <f ca="1">H6</f>
        <v>83.161650585235307</v>
      </c>
      <c r="G9">
        <v>1</v>
      </c>
      <c r="H9">
        <f ca="1">I6</f>
        <v>545.45111310954564</v>
      </c>
      <c r="I9">
        <v>1</v>
      </c>
      <c r="J9">
        <f ca="1">J6</f>
        <v>-15.900519581757095</v>
      </c>
    </row>
    <row r="10" spans="1:10" x14ac:dyDescent="0.35">
      <c r="A10">
        <v>2</v>
      </c>
      <c r="B10">
        <f t="dataTable" ref="B10:B1008" dt2D="0" dtr="0" r1="CP19" ca="1"/>
        <v>671.29857549205019</v>
      </c>
      <c r="C10">
        <v>2</v>
      </c>
      <c r="D10">
        <f t="dataTable" ref="D10:D1008" dt2D="0" dtr="0" r1="AD15" ca="1"/>
        <v>514.04856800775337</v>
      </c>
      <c r="E10">
        <v>2</v>
      </c>
      <c r="F10">
        <f t="dataTable" ref="F10:F1008" dt2D="0" dtr="0" r1="BE15" ca="1"/>
        <v>-64.501459841716496</v>
      </c>
      <c r="G10">
        <v>2</v>
      </c>
      <c r="H10">
        <f t="dataTable" ref="H10:H1008" dt2D="0" dtr="0" r1="AI14" ca="1"/>
        <v>171.95619158276082</v>
      </c>
      <c r="I10">
        <v>2</v>
      </c>
      <c r="J10">
        <f t="dataTable" ref="J10:J1008" dt2D="0" dtr="0" r1="N14" ca="1"/>
        <v>424.69490624496393</v>
      </c>
    </row>
    <row r="11" spans="1:10" x14ac:dyDescent="0.35">
      <c r="A11">
        <v>3</v>
      </c>
      <c r="B11">
        <v>823.26933522444278</v>
      </c>
      <c r="C11">
        <v>3</v>
      </c>
      <c r="D11">
        <v>564.21797058922675</v>
      </c>
      <c r="E11">
        <v>3</v>
      </c>
      <c r="F11">
        <v>372.06264788016762</v>
      </c>
      <c r="G11">
        <v>3</v>
      </c>
      <c r="H11">
        <v>-140.02202649296493</v>
      </c>
      <c r="I11">
        <v>3</v>
      </c>
      <c r="J11">
        <v>-191.24415801268782</v>
      </c>
    </row>
    <row r="12" spans="1:10" x14ac:dyDescent="0.35">
      <c r="A12">
        <v>4</v>
      </c>
      <c r="B12">
        <v>464.11486690292611</v>
      </c>
      <c r="C12">
        <v>4</v>
      </c>
      <c r="D12">
        <v>638.95678389306181</v>
      </c>
      <c r="E12">
        <v>4</v>
      </c>
      <c r="F12">
        <v>-212.8991241603141</v>
      </c>
      <c r="G12">
        <v>4</v>
      </c>
      <c r="H12">
        <v>348.30423674903687</v>
      </c>
      <c r="I12">
        <v>4</v>
      </c>
      <c r="J12">
        <v>-680.27189322138918</v>
      </c>
    </row>
    <row r="13" spans="1:10" x14ac:dyDescent="0.35">
      <c r="A13">
        <v>5</v>
      </c>
      <c r="B13">
        <v>153.0273436018274</v>
      </c>
      <c r="C13">
        <v>5</v>
      </c>
      <c r="D13">
        <v>811.71966778904243</v>
      </c>
      <c r="E13">
        <v>5</v>
      </c>
      <c r="F13">
        <v>-22.77250685565248</v>
      </c>
      <c r="G13">
        <v>5</v>
      </c>
      <c r="H13">
        <v>752.66519234350517</v>
      </c>
      <c r="I13">
        <v>5</v>
      </c>
      <c r="J13">
        <v>38.947948847173677</v>
      </c>
    </row>
    <row r="14" spans="1:10" x14ac:dyDescent="0.35">
      <c r="A14">
        <v>6</v>
      </c>
      <c r="B14">
        <v>890.77658586150085</v>
      </c>
      <c r="C14">
        <v>6</v>
      </c>
      <c r="D14">
        <v>457.3288376452158</v>
      </c>
      <c r="E14">
        <v>6</v>
      </c>
      <c r="F14">
        <v>258.37259841928187</v>
      </c>
      <c r="G14">
        <v>6</v>
      </c>
      <c r="H14">
        <v>700.35095557905447</v>
      </c>
      <c r="I14">
        <v>6</v>
      </c>
      <c r="J14">
        <v>-459.9636919038125</v>
      </c>
    </row>
    <row r="15" spans="1:10" x14ac:dyDescent="0.35">
      <c r="A15">
        <v>7</v>
      </c>
      <c r="B15">
        <v>1001.1554049789428</v>
      </c>
      <c r="C15">
        <v>7</v>
      </c>
      <c r="D15">
        <v>616.41498859870387</v>
      </c>
      <c r="E15">
        <v>7</v>
      </c>
      <c r="F15">
        <v>259.32761902405719</v>
      </c>
      <c r="G15">
        <v>7</v>
      </c>
      <c r="H15">
        <v>771.06935346093348</v>
      </c>
      <c r="I15">
        <v>7</v>
      </c>
      <c r="J15">
        <v>50.63175343200561</v>
      </c>
    </row>
    <row r="16" spans="1:10" x14ac:dyDescent="0.35">
      <c r="A16">
        <v>8</v>
      </c>
      <c r="B16">
        <v>752.25507303644486</v>
      </c>
      <c r="C16">
        <v>8</v>
      </c>
      <c r="D16">
        <v>618.66656887554041</v>
      </c>
      <c r="E16">
        <v>8</v>
      </c>
      <c r="F16">
        <v>300.40857158900155</v>
      </c>
      <c r="G16">
        <v>8</v>
      </c>
      <c r="H16">
        <v>125.07745719955159</v>
      </c>
      <c r="I16">
        <v>8</v>
      </c>
      <c r="J16">
        <v>221.39726361292912</v>
      </c>
    </row>
    <row r="17" spans="1:10" x14ac:dyDescent="0.35">
      <c r="A17">
        <v>9</v>
      </c>
      <c r="B17">
        <v>926.03252874655846</v>
      </c>
      <c r="C17">
        <v>9</v>
      </c>
      <c r="D17">
        <v>502.54421379543203</v>
      </c>
      <c r="E17">
        <v>9</v>
      </c>
      <c r="F17">
        <v>61.891844851213527</v>
      </c>
      <c r="G17">
        <v>9</v>
      </c>
      <c r="H17">
        <v>825.75382278344398</v>
      </c>
      <c r="I17">
        <v>9</v>
      </c>
      <c r="J17">
        <v>192.13531783113126</v>
      </c>
    </row>
    <row r="18" spans="1:10" x14ac:dyDescent="0.35">
      <c r="A18">
        <v>10</v>
      </c>
      <c r="B18">
        <v>642.2237057411578</v>
      </c>
      <c r="C18">
        <v>10</v>
      </c>
      <c r="D18">
        <v>323.16936001641028</v>
      </c>
      <c r="E18">
        <v>10</v>
      </c>
      <c r="F18">
        <v>460.54520089939876</v>
      </c>
      <c r="G18">
        <v>10</v>
      </c>
      <c r="H18">
        <v>275.39769528204982</v>
      </c>
      <c r="I18">
        <v>10</v>
      </c>
      <c r="J18">
        <v>51.423980232399686</v>
      </c>
    </row>
    <row r="19" spans="1:10" x14ac:dyDescent="0.35">
      <c r="A19">
        <v>11</v>
      </c>
      <c r="B19">
        <v>581.85378961262654</v>
      </c>
      <c r="C19">
        <v>11</v>
      </c>
      <c r="D19">
        <v>532.43019540084538</v>
      </c>
      <c r="E19">
        <v>11</v>
      </c>
      <c r="F19">
        <v>-5.1345064707013819</v>
      </c>
      <c r="G19">
        <v>11</v>
      </c>
      <c r="H19">
        <v>426.6787961583251</v>
      </c>
      <c r="I19">
        <v>11</v>
      </c>
      <c r="J19">
        <v>212.6898926458839</v>
      </c>
    </row>
    <row r="20" spans="1:10" x14ac:dyDescent="0.35">
      <c r="A20">
        <v>12</v>
      </c>
      <c r="B20">
        <v>1138.9994435556023</v>
      </c>
      <c r="C20">
        <v>12</v>
      </c>
      <c r="D20">
        <v>611.59063886868046</v>
      </c>
      <c r="E20">
        <v>12</v>
      </c>
      <c r="F20">
        <v>275.09296343998426</v>
      </c>
      <c r="G20">
        <v>12</v>
      </c>
      <c r="H20">
        <v>1015.1287825320214</v>
      </c>
      <c r="I20">
        <v>12</v>
      </c>
      <c r="J20">
        <v>-207.68054103634773</v>
      </c>
    </row>
    <row r="21" spans="1:10" x14ac:dyDescent="0.35">
      <c r="A21">
        <v>13</v>
      </c>
      <c r="B21">
        <v>814.94371967483028</v>
      </c>
      <c r="C21">
        <v>13</v>
      </c>
      <c r="D21">
        <v>659.49980805829557</v>
      </c>
      <c r="E21">
        <v>13</v>
      </c>
      <c r="F21">
        <v>-185.64161524902764</v>
      </c>
      <c r="G21">
        <v>13</v>
      </c>
      <c r="H21">
        <v>823.94019889229685</v>
      </c>
      <c r="I21">
        <v>13</v>
      </c>
      <c r="J21">
        <v>-300.1455437607209</v>
      </c>
    </row>
    <row r="22" spans="1:10" x14ac:dyDescent="0.35">
      <c r="A22">
        <v>14</v>
      </c>
      <c r="B22">
        <v>454.47858033566411</v>
      </c>
      <c r="C22">
        <v>14</v>
      </c>
      <c r="D22">
        <v>661.98006081695007</v>
      </c>
      <c r="E22">
        <v>14</v>
      </c>
      <c r="F22">
        <v>-61.505928989511261</v>
      </c>
      <c r="G22">
        <v>14</v>
      </c>
      <c r="H22">
        <v>935.9711108959284</v>
      </c>
      <c r="I22">
        <v>14</v>
      </c>
      <c r="J22">
        <v>-657.1787135313682</v>
      </c>
    </row>
    <row r="23" spans="1:10" x14ac:dyDescent="0.35">
      <c r="A23">
        <v>15</v>
      </c>
      <c r="B23">
        <v>324.00175600953406</v>
      </c>
      <c r="C23">
        <v>15</v>
      </c>
      <c r="D23">
        <v>691.26282970214675</v>
      </c>
      <c r="E23">
        <v>15</v>
      </c>
      <c r="F23">
        <v>181.04855291244917</v>
      </c>
      <c r="G23">
        <v>15</v>
      </c>
      <c r="H23">
        <v>896.92250631033448</v>
      </c>
      <c r="I23">
        <v>15</v>
      </c>
      <c r="J23">
        <v>-234.25946609434976</v>
      </c>
    </row>
    <row r="24" spans="1:10" x14ac:dyDescent="0.35">
      <c r="A24">
        <v>16</v>
      </c>
      <c r="B24">
        <v>541.54127706282486</v>
      </c>
      <c r="C24">
        <v>16</v>
      </c>
      <c r="D24">
        <v>344.85299743881995</v>
      </c>
      <c r="E24">
        <v>16</v>
      </c>
      <c r="F24">
        <v>519.1613025772275</v>
      </c>
      <c r="G24">
        <v>16</v>
      </c>
      <c r="H24">
        <v>-430.06417301607331</v>
      </c>
      <c r="I24">
        <v>16</v>
      </c>
      <c r="J24">
        <v>-403.00837464995686</v>
      </c>
    </row>
    <row r="25" spans="1:10" x14ac:dyDescent="0.35">
      <c r="A25">
        <v>17</v>
      </c>
      <c r="B25">
        <v>579.94004922321847</v>
      </c>
      <c r="C25">
        <v>17</v>
      </c>
      <c r="D25">
        <v>873.7578247831982</v>
      </c>
      <c r="E25">
        <v>17</v>
      </c>
      <c r="F25">
        <v>224.13765262193019</v>
      </c>
      <c r="G25">
        <v>17</v>
      </c>
      <c r="H25">
        <v>677.36298678914432</v>
      </c>
      <c r="I25">
        <v>17</v>
      </c>
      <c r="J25">
        <v>-656.08964569183831</v>
      </c>
    </row>
    <row r="26" spans="1:10" x14ac:dyDescent="0.35">
      <c r="A26">
        <v>18</v>
      </c>
      <c r="B26">
        <v>870.6719560298427</v>
      </c>
      <c r="C26">
        <v>18</v>
      </c>
      <c r="D26">
        <v>624.67812897827082</v>
      </c>
      <c r="E26">
        <v>18</v>
      </c>
      <c r="F26">
        <v>110.96928379685085</v>
      </c>
      <c r="G26">
        <v>18</v>
      </c>
      <c r="H26">
        <v>612.56535334676539</v>
      </c>
      <c r="I26">
        <v>18</v>
      </c>
      <c r="J26">
        <v>-61.352358759813768</v>
      </c>
    </row>
    <row r="27" spans="1:10" x14ac:dyDescent="0.35">
      <c r="A27">
        <v>19</v>
      </c>
      <c r="B27">
        <v>462.95928331861768</v>
      </c>
      <c r="C27">
        <v>19</v>
      </c>
      <c r="D27">
        <v>752.25733396759722</v>
      </c>
      <c r="E27">
        <v>19</v>
      </c>
      <c r="F27">
        <v>295.42792474121046</v>
      </c>
      <c r="G27">
        <v>19</v>
      </c>
      <c r="H27">
        <v>434.83230038807341</v>
      </c>
      <c r="I27">
        <v>19</v>
      </c>
      <c r="J27">
        <v>-100.92056149352229</v>
      </c>
    </row>
    <row r="28" spans="1:10" x14ac:dyDescent="0.35">
      <c r="A28">
        <v>20</v>
      </c>
      <c r="B28">
        <v>504.39906175597991</v>
      </c>
      <c r="C28">
        <v>20</v>
      </c>
      <c r="D28">
        <v>753.10811327673639</v>
      </c>
      <c r="E28">
        <v>20</v>
      </c>
      <c r="F28">
        <v>-179.11865014898254</v>
      </c>
      <c r="G28">
        <v>20</v>
      </c>
      <c r="H28">
        <v>782.28957211156103</v>
      </c>
      <c r="I28">
        <v>20</v>
      </c>
      <c r="J28">
        <v>144.23111191078385</v>
      </c>
    </row>
    <row r="29" spans="1:10" x14ac:dyDescent="0.35">
      <c r="A29">
        <v>21</v>
      </c>
      <c r="B29">
        <v>994.00683979030225</v>
      </c>
      <c r="C29">
        <v>21</v>
      </c>
      <c r="D29">
        <v>532.17543188001798</v>
      </c>
      <c r="E29">
        <v>21</v>
      </c>
      <c r="F29">
        <v>324.196817841295</v>
      </c>
      <c r="G29">
        <v>21</v>
      </c>
      <c r="H29">
        <v>532.18395368436495</v>
      </c>
      <c r="I29">
        <v>21</v>
      </c>
      <c r="J29">
        <v>-2.6638912615502761</v>
      </c>
    </row>
    <row r="30" spans="1:10" x14ac:dyDescent="0.35">
      <c r="A30">
        <v>22</v>
      </c>
      <c r="B30">
        <v>443.94292291724196</v>
      </c>
      <c r="C30">
        <v>22</v>
      </c>
      <c r="D30">
        <v>901.61930981463126</v>
      </c>
      <c r="E30">
        <v>22</v>
      </c>
      <c r="F30">
        <v>149.78725856434087</v>
      </c>
      <c r="G30">
        <v>22</v>
      </c>
      <c r="H30">
        <v>439.29611291514328</v>
      </c>
      <c r="I30">
        <v>22</v>
      </c>
      <c r="J30">
        <v>426.59801969098328</v>
      </c>
    </row>
    <row r="31" spans="1:10" x14ac:dyDescent="0.35">
      <c r="A31">
        <v>23</v>
      </c>
      <c r="B31">
        <v>536.04165865662185</v>
      </c>
      <c r="C31">
        <v>23</v>
      </c>
      <c r="D31">
        <v>938.47895979684722</v>
      </c>
      <c r="E31">
        <v>23</v>
      </c>
      <c r="F31">
        <v>402.07271462853868</v>
      </c>
      <c r="G31">
        <v>23</v>
      </c>
      <c r="H31">
        <v>641.86116920099516</v>
      </c>
      <c r="I31">
        <v>23</v>
      </c>
      <c r="J31">
        <v>-18.892071069221743</v>
      </c>
    </row>
    <row r="32" spans="1:10" x14ac:dyDescent="0.35">
      <c r="A32">
        <v>24</v>
      </c>
      <c r="B32">
        <v>777.77825224491312</v>
      </c>
      <c r="C32">
        <v>24</v>
      </c>
      <c r="D32">
        <v>853.80977013366362</v>
      </c>
      <c r="E32">
        <v>24</v>
      </c>
      <c r="F32">
        <v>-282.62478428968745</v>
      </c>
      <c r="G32">
        <v>24</v>
      </c>
      <c r="H32">
        <v>322.56933410099077</v>
      </c>
      <c r="I32">
        <v>24</v>
      </c>
      <c r="J32">
        <v>-265.86388315745234</v>
      </c>
    </row>
    <row r="33" spans="1:10" x14ac:dyDescent="0.35">
      <c r="A33">
        <v>25</v>
      </c>
      <c r="B33">
        <v>603.9112091281047</v>
      </c>
      <c r="C33">
        <v>25</v>
      </c>
      <c r="D33">
        <v>698.90931994734194</v>
      </c>
      <c r="E33">
        <v>25</v>
      </c>
      <c r="F33">
        <v>241.90985334214747</v>
      </c>
      <c r="G33">
        <v>25</v>
      </c>
      <c r="H33">
        <v>308.10755105793919</v>
      </c>
      <c r="I33">
        <v>25</v>
      </c>
      <c r="J33">
        <v>-139.92632636931586</v>
      </c>
    </row>
    <row r="34" spans="1:10" x14ac:dyDescent="0.35">
      <c r="A34">
        <v>26</v>
      </c>
      <c r="B34">
        <v>448.12296172932145</v>
      </c>
      <c r="C34">
        <v>26</v>
      </c>
      <c r="D34">
        <v>923.52999925308609</v>
      </c>
      <c r="E34">
        <v>26</v>
      </c>
      <c r="F34">
        <v>-130.45926961069185</v>
      </c>
      <c r="G34">
        <v>26</v>
      </c>
      <c r="H34">
        <v>16.431415614721914</v>
      </c>
      <c r="I34">
        <v>26</v>
      </c>
      <c r="J34">
        <v>-40.88433530528053</v>
      </c>
    </row>
    <row r="35" spans="1:10" x14ac:dyDescent="0.35">
      <c r="A35">
        <v>27</v>
      </c>
      <c r="B35">
        <v>561.88034360180995</v>
      </c>
      <c r="C35">
        <v>27</v>
      </c>
      <c r="D35">
        <v>976.05859742292364</v>
      </c>
      <c r="E35">
        <v>27</v>
      </c>
      <c r="F35">
        <v>-277.48631664969048</v>
      </c>
      <c r="G35">
        <v>27</v>
      </c>
      <c r="H35">
        <v>443.92060352858488</v>
      </c>
      <c r="I35">
        <v>27</v>
      </c>
      <c r="J35">
        <v>-172.43420238722516</v>
      </c>
    </row>
    <row r="36" spans="1:10" x14ac:dyDescent="0.35">
      <c r="A36">
        <v>28</v>
      </c>
      <c r="B36">
        <v>560.25294431203463</v>
      </c>
      <c r="C36">
        <v>28</v>
      </c>
      <c r="D36">
        <v>1045.4964197500549</v>
      </c>
      <c r="E36">
        <v>28</v>
      </c>
      <c r="F36">
        <v>-110.4753738979262</v>
      </c>
      <c r="G36">
        <v>28</v>
      </c>
      <c r="H36">
        <v>667.79225477788987</v>
      </c>
      <c r="I36">
        <v>28</v>
      </c>
      <c r="J36">
        <v>-120.10444337107296</v>
      </c>
    </row>
    <row r="37" spans="1:10" x14ac:dyDescent="0.35">
      <c r="A37">
        <v>29</v>
      </c>
      <c r="B37">
        <v>505.67602817946153</v>
      </c>
      <c r="C37">
        <v>29</v>
      </c>
      <c r="D37">
        <v>585.15089074335197</v>
      </c>
      <c r="E37">
        <v>29</v>
      </c>
      <c r="F37">
        <v>-73.950413772257349</v>
      </c>
      <c r="G37">
        <v>29</v>
      </c>
      <c r="H37">
        <v>574.25585007446875</v>
      </c>
      <c r="I37">
        <v>29</v>
      </c>
      <c r="J37">
        <v>-68.808300473557352</v>
      </c>
    </row>
    <row r="38" spans="1:10" x14ac:dyDescent="0.35">
      <c r="A38">
        <v>30</v>
      </c>
      <c r="B38">
        <v>305.19843577402349</v>
      </c>
      <c r="C38">
        <v>30</v>
      </c>
      <c r="D38">
        <v>470.5921970105785</v>
      </c>
      <c r="E38">
        <v>30</v>
      </c>
      <c r="F38">
        <v>212.17306295729233</v>
      </c>
      <c r="G38">
        <v>30</v>
      </c>
      <c r="H38">
        <v>157.14429958156381</v>
      </c>
      <c r="I38">
        <v>30</v>
      </c>
      <c r="J38">
        <v>-66.736723186879289</v>
      </c>
    </row>
    <row r="39" spans="1:10" x14ac:dyDescent="0.35">
      <c r="A39">
        <v>31</v>
      </c>
      <c r="B39">
        <v>773.34222318970774</v>
      </c>
      <c r="C39">
        <v>31</v>
      </c>
      <c r="D39">
        <v>659.09333240274157</v>
      </c>
      <c r="E39">
        <v>31</v>
      </c>
      <c r="F39">
        <v>45.158112688679694</v>
      </c>
      <c r="G39">
        <v>31</v>
      </c>
      <c r="H39">
        <v>489.31137801652955</v>
      </c>
      <c r="I39">
        <v>31</v>
      </c>
      <c r="J39">
        <v>-184.68851064815908</v>
      </c>
    </row>
    <row r="40" spans="1:10" x14ac:dyDescent="0.35">
      <c r="A40">
        <v>32</v>
      </c>
      <c r="B40">
        <v>446.07382008542345</v>
      </c>
      <c r="C40">
        <v>32</v>
      </c>
      <c r="D40">
        <v>789.26471168277419</v>
      </c>
      <c r="E40">
        <v>32</v>
      </c>
      <c r="F40">
        <v>163.6691674438444</v>
      </c>
      <c r="G40">
        <v>32</v>
      </c>
      <c r="H40">
        <v>484.22510783748197</v>
      </c>
      <c r="I40">
        <v>32</v>
      </c>
      <c r="J40">
        <v>-117.53382324825257</v>
      </c>
    </row>
    <row r="41" spans="1:10" x14ac:dyDescent="0.35">
      <c r="A41">
        <v>33</v>
      </c>
      <c r="B41">
        <v>250.15550996232486</v>
      </c>
      <c r="C41">
        <v>33</v>
      </c>
      <c r="D41">
        <v>363.13611208921247</v>
      </c>
      <c r="E41">
        <v>33</v>
      </c>
      <c r="F41">
        <v>340.20803675816239</v>
      </c>
      <c r="G41">
        <v>33</v>
      </c>
      <c r="H41">
        <v>684.32113587271465</v>
      </c>
      <c r="I41">
        <v>33</v>
      </c>
      <c r="J41">
        <v>-56.754745032664857</v>
      </c>
    </row>
    <row r="42" spans="1:10" x14ac:dyDescent="0.35">
      <c r="A42">
        <v>34</v>
      </c>
      <c r="B42">
        <v>1062.7143584173143</v>
      </c>
      <c r="C42">
        <v>34</v>
      </c>
      <c r="D42">
        <v>799.46548862465647</v>
      </c>
      <c r="E42">
        <v>34</v>
      </c>
      <c r="F42">
        <v>148.80966104763084</v>
      </c>
      <c r="G42">
        <v>34</v>
      </c>
      <c r="H42">
        <v>593.46608516148444</v>
      </c>
      <c r="I42">
        <v>34</v>
      </c>
      <c r="J42">
        <v>-184.45328870969377</v>
      </c>
    </row>
    <row r="43" spans="1:10" x14ac:dyDescent="0.35">
      <c r="A43">
        <v>35</v>
      </c>
      <c r="B43">
        <v>1076.7172853018556</v>
      </c>
      <c r="C43">
        <v>35</v>
      </c>
      <c r="D43">
        <v>841.25653816297813</v>
      </c>
      <c r="E43">
        <v>35</v>
      </c>
      <c r="F43">
        <v>-250.14562886739623</v>
      </c>
      <c r="G43">
        <v>35</v>
      </c>
      <c r="H43">
        <v>565.38895226427053</v>
      </c>
      <c r="I43">
        <v>35</v>
      </c>
      <c r="J43">
        <v>-179.26854302232269</v>
      </c>
    </row>
    <row r="44" spans="1:10" x14ac:dyDescent="0.35">
      <c r="A44">
        <v>36</v>
      </c>
      <c r="B44">
        <v>529.84897252602389</v>
      </c>
      <c r="C44">
        <v>36</v>
      </c>
      <c r="D44">
        <v>303.73492110566013</v>
      </c>
      <c r="E44">
        <v>36</v>
      </c>
      <c r="F44">
        <v>211.24467017177781</v>
      </c>
      <c r="G44">
        <v>36</v>
      </c>
      <c r="H44">
        <v>217.86177164867144</v>
      </c>
      <c r="I44">
        <v>36</v>
      </c>
      <c r="J44">
        <v>-244.43259754017436</v>
      </c>
    </row>
    <row r="45" spans="1:10" x14ac:dyDescent="0.35">
      <c r="A45">
        <v>37</v>
      </c>
      <c r="B45">
        <v>463.34668241932417</v>
      </c>
      <c r="C45">
        <v>37</v>
      </c>
      <c r="D45">
        <v>565.29677267521561</v>
      </c>
      <c r="E45">
        <v>37</v>
      </c>
      <c r="F45">
        <v>-302.37115929198069</v>
      </c>
      <c r="G45">
        <v>37</v>
      </c>
      <c r="H45">
        <v>754.63732681938018</v>
      </c>
      <c r="I45">
        <v>37</v>
      </c>
      <c r="J45">
        <v>329.3119545412361</v>
      </c>
    </row>
    <row r="46" spans="1:10" x14ac:dyDescent="0.35">
      <c r="A46">
        <v>38</v>
      </c>
      <c r="B46">
        <v>911.73645398401584</v>
      </c>
      <c r="C46">
        <v>38</v>
      </c>
      <c r="D46">
        <v>469.51221700877397</v>
      </c>
      <c r="E46">
        <v>38</v>
      </c>
      <c r="F46">
        <v>96.626385914481091</v>
      </c>
      <c r="G46">
        <v>38</v>
      </c>
      <c r="H46">
        <v>877.09183621876036</v>
      </c>
      <c r="I46">
        <v>38</v>
      </c>
      <c r="J46">
        <v>-246.31365128852622</v>
      </c>
    </row>
    <row r="47" spans="1:10" x14ac:dyDescent="0.35">
      <c r="A47">
        <v>39</v>
      </c>
      <c r="B47">
        <v>574.38387277841684</v>
      </c>
      <c r="C47">
        <v>39</v>
      </c>
      <c r="D47">
        <v>694.90837193226901</v>
      </c>
      <c r="E47">
        <v>39</v>
      </c>
      <c r="F47">
        <v>192.35797229761971</v>
      </c>
      <c r="G47">
        <v>39</v>
      </c>
      <c r="H47">
        <v>473.15742973043342</v>
      </c>
      <c r="I47">
        <v>39</v>
      </c>
      <c r="J47">
        <v>-56.783134790994438</v>
      </c>
    </row>
    <row r="48" spans="1:10" x14ac:dyDescent="0.35">
      <c r="A48">
        <v>40</v>
      </c>
      <c r="B48">
        <v>184.59945089003656</v>
      </c>
      <c r="C48">
        <v>40</v>
      </c>
      <c r="D48">
        <v>993.32999338484342</v>
      </c>
      <c r="E48">
        <v>40</v>
      </c>
      <c r="F48">
        <v>329.74678648167918</v>
      </c>
      <c r="G48">
        <v>40</v>
      </c>
      <c r="H48">
        <v>646.88311495860091</v>
      </c>
      <c r="I48">
        <v>40</v>
      </c>
      <c r="J48">
        <v>-197.49536202745446</v>
      </c>
    </row>
    <row r="49" spans="1:10" x14ac:dyDescent="0.35">
      <c r="A49">
        <v>41</v>
      </c>
      <c r="B49">
        <v>363.78150570734147</v>
      </c>
      <c r="C49">
        <v>41</v>
      </c>
      <c r="D49">
        <v>643.62124690628673</v>
      </c>
      <c r="E49">
        <v>41</v>
      </c>
      <c r="F49">
        <v>-126.40775193137515</v>
      </c>
      <c r="G49">
        <v>41</v>
      </c>
      <c r="H49">
        <v>98.655084863243815</v>
      </c>
      <c r="I49">
        <v>41</v>
      </c>
      <c r="J49">
        <v>-959.32441913799767</v>
      </c>
    </row>
    <row r="50" spans="1:10" x14ac:dyDescent="0.35">
      <c r="A50">
        <v>42</v>
      </c>
      <c r="B50">
        <v>891.98635616334911</v>
      </c>
      <c r="C50">
        <v>42</v>
      </c>
      <c r="D50">
        <v>887.10603773633761</v>
      </c>
      <c r="E50">
        <v>42</v>
      </c>
      <c r="F50">
        <v>252.70458885342464</v>
      </c>
      <c r="G50">
        <v>42</v>
      </c>
      <c r="H50">
        <v>128.66896987217461</v>
      </c>
      <c r="I50">
        <v>42</v>
      </c>
      <c r="J50">
        <v>77.357432251091552</v>
      </c>
    </row>
    <row r="51" spans="1:10" x14ac:dyDescent="0.35">
      <c r="A51">
        <v>43</v>
      </c>
      <c r="B51">
        <v>760.70021990891041</v>
      </c>
      <c r="C51">
        <v>43</v>
      </c>
      <c r="D51">
        <v>774.10683329088477</v>
      </c>
      <c r="E51">
        <v>43</v>
      </c>
      <c r="F51">
        <v>-60.624954982145681</v>
      </c>
      <c r="G51">
        <v>43</v>
      </c>
      <c r="H51">
        <v>254.1502223646086</v>
      </c>
      <c r="I51">
        <v>43</v>
      </c>
      <c r="J51">
        <v>-793.66867562364246</v>
      </c>
    </row>
    <row r="52" spans="1:10" x14ac:dyDescent="0.35">
      <c r="A52">
        <v>44</v>
      </c>
      <c r="B52">
        <v>900.11941468500709</v>
      </c>
      <c r="C52">
        <v>44</v>
      </c>
      <c r="D52">
        <v>735.54759604150831</v>
      </c>
      <c r="E52">
        <v>44</v>
      </c>
      <c r="F52">
        <v>-5.9525617139767633</v>
      </c>
      <c r="G52">
        <v>44</v>
      </c>
      <c r="H52">
        <v>290.70481430986945</v>
      </c>
      <c r="I52">
        <v>44</v>
      </c>
      <c r="J52">
        <v>239.34371645291634</v>
      </c>
    </row>
    <row r="53" spans="1:10" x14ac:dyDescent="0.35">
      <c r="A53">
        <v>45</v>
      </c>
      <c r="B53">
        <v>648.40377133949801</v>
      </c>
      <c r="C53">
        <v>45</v>
      </c>
      <c r="D53">
        <v>535.70899671551513</v>
      </c>
      <c r="E53">
        <v>45</v>
      </c>
      <c r="F53">
        <v>-14.094863979637424</v>
      </c>
      <c r="G53">
        <v>45</v>
      </c>
      <c r="H53">
        <v>372.04635003739395</v>
      </c>
      <c r="I53">
        <v>45</v>
      </c>
      <c r="J53">
        <v>-20.490281724431441</v>
      </c>
    </row>
    <row r="54" spans="1:10" x14ac:dyDescent="0.35">
      <c r="A54">
        <v>46</v>
      </c>
      <c r="B54">
        <v>659.16116045811941</v>
      </c>
      <c r="C54">
        <v>46</v>
      </c>
      <c r="D54">
        <v>955.90658736098112</v>
      </c>
      <c r="E54">
        <v>46</v>
      </c>
      <c r="F54">
        <v>24.889137358289091</v>
      </c>
      <c r="G54">
        <v>46</v>
      </c>
      <c r="H54">
        <v>16.460817972282598</v>
      </c>
      <c r="I54">
        <v>46</v>
      </c>
      <c r="J54">
        <v>-644.59188700209472</v>
      </c>
    </row>
    <row r="55" spans="1:10" x14ac:dyDescent="0.35">
      <c r="A55">
        <v>47</v>
      </c>
      <c r="B55">
        <v>760.0276817868903</v>
      </c>
      <c r="C55">
        <v>47</v>
      </c>
      <c r="D55">
        <v>859.89329598348206</v>
      </c>
      <c r="E55">
        <v>47</v>
      </c>
      <c r="F55">
        <v>196.15987353716628</v>
      </c>
      <c r="G55">
        <v>47</v>
      </c>
      <c r="H55">
        <v>198.04301641523659</v>
      </c>
      <c r="I55">
        <v>47</v>
      </c>
      <c r="J55">
        <v>-172.3057298972833</v>
      </c>
    </row>
    <row r="56" spans="1:10" x14ac:dyDescent="0.35">
      <c r="A56">
        <v>48</v>
      </c>
      <c r="B56">
        <v>322.10133689055738</v>
      </c>
      <c r="C56">
        <v>48</v>
      </c>
      <c r="D56">
        <v>871.77982982563003</v>
      </c>
      <c r="E56">
        <v>48</v>
      </c>
      <c r="F56">
        <v>239.30096917318008</v>
      </c>
      <c r="G56">
        <v>48</v>
      </c>
      <c r="H56">
        <v>160.46790902282589</v>
      </c>
      <c r="I56">
        <v>48</v>
      </c>
      <c r="J56">
        <v>-438.98767343674604</v>
      </c>
    </row>
    <row r="57" spans="1:10" x14ac:dyDescent="0.35">
      <c r="A57">
        <v>49</v>
      </c>
      <c r="B57">
        <v>726.5621397953181</v>
      </c>
      <c r="C57">
        <v>49</v>
      </c>
      <c r="D57">
        <v>623.04745647616846</v>
      </c>
      <c r="E57">
        <v>49</v>
      </c>
      <c r="F57">
        <v>167.50759073987675</v>
      </c>
      <c r="G57">
        <v>49</v>
      </c>
      <c r="H57">
        <v>448.88857676814018</v>
      </c>
      <c r="I57">
        <v>49</v>
      </c>
      <c r="J57">
        <v>24.887193377426883</v>
      </c>
    </row>
    <row r="58" spans="1:10" x14ac:dyDescent="0.35">
      <c r="A58">
        <v>50</v>
      </c>
      <c r="B58">
        <v>1020.6875374029144</v>
      </c>
      <c r="C58">
        <v>50</v>
      </c>
      <c r="D58">
        <v>724.6274317068644</v>
      </c>
      <c r="E58">
        <v>50</v>
      </c>
      <c r="F58">
        <v>160.86178662841871</v>
      </c>
      <c r="G58">
        <v>50</v>
      </c>
      <c r="H58">
        <v>1334.3465287367717</v>
      </c>
      <c r="I58">
        <v>50</v>
      </c>
      <c r="J58">
        <v>-192.38177088189474</v>
      </c>
    </row>
    <row r="59" spans="1:10" x14ac:dyDescent="0.35">
      <c r="A59">
        <v>51</v>
      </c>
      <c r="B59">
        <v>735.18000532647295</v>
      </c>
      <c r="C59">
        <v>51</v>
      </c>
      <c r="D59">
        <v>762.25328290693938</v>
      </c>
      <c r="E59">
        <v>51</v>
      </c>
      <c r="F59">
        <v>337.76891045127854</v>
      </c>
      <c r="G59">
        <v>51</v>
      </c>
      <c r="H59">
        <v>539.933267434041</v>
      </c>
      <c r="I59">
        <v>51</v>
      </c>
      <c r="J59">
        <v>-8.7688746647146445</v>
      </c>
    </row>
    <row r="60" spans="1:10" x14ac:dyDescent="0.35">
      <c r="A60">
        <v>52</v>
      </c>
      <c r="B60">
        <v>813.82541791678989</v>
      </c>
      <c r="C60">
        <v>52</v>
      </c>
      <c r="D60">
        <v>668.21439710555308</v>
      </c>
      <c r="E60">
        <v>52</v>
      </c>
      <c r="F60">
        <v>-289.22456482176273</v>
      </c>
      <c r="G60">
        <v>52</v>
      </c>
      <c r="H60">
        <v>393.43998318075018</v>
      </c>
      <c r="I60">
        <v>52</v>
      </c>
      <c r="J60">
        <v>111.89223638842566</v>
      </c>
    </row>
    <row r="61" spans="1:10" x14ac:dyDescent="0.35">
      <c r="A61">
        <v>53</v>
      </c>
      <c r="B61">
        <v>618.64745912280557</v>
      </c>
      <c r="C61">
        <v>53</v>
      </c>
      <c r="D61">
        <v>554.33201679172385</v>
      </c>
      <c r="E61">
        <v>53</v>
      </c>
      <c r="F61">
        <v>444.16165699012913</v>
      </c>
      <c r="G61">
        <v>53</v>
      </c>
      <c r="H61">
        <v>573.43152330227076</v>
      </c>
      <c r="I61">
        <v>53</v>
      </c>
      <c r="J61">
        <v>-752.69641449985124</v>
      </c>
    </row>
    <row r="62" spans="1:10" x14ac:dyDescent="0.35">
      <c r="A62">
        <v>54</v>
      </c>
      <c r="B62">
        <v>424.26531193379253</v>
      </c>
      <c r="C62">
        <v>54</v>
      </c>
      <c r="D62">
        <v>703.06130563016802</v>
      </c>
      <c r="E62">
        <v>54</v>
      </c>
      <c r="F62">
        <v>241.4758559962589</v>
      </c>
      <c r="G62">
        <v>54</v>
      </c>
      <c r="H62">
        <v>409.73482301940368</v>
      </c>
      <c r="I62">
        <v>54</v>
      </c>
      <c r="J62">
        <v>364.29702145821273</v>
      </c>
    </row>
    <row r="63" spans="1:10" x14ac:dyDescent="0.35">
      <c r="A63">
        <v>55</v>
      </c>
      <c r="B63">
        <v>429.57583077986749</v>
      </c>
      <c r="C63">
        <v>55</v>
      </c>
      <c r="D63">
        <v>744.1444916532339</v>
      </c>
      <c r="E63">
        <v>55</v>
      </c>
      <c r="F63">
        <v>-407.9685539452492</v>
      </c>
      <c r="G63">
        <v>55</v>
      </c>
      <c r="H63">
        <v>376.01574130978133</v>
      </c>
      <c r="I63">
        <v>55</v>
      </c>
      <c r="J63">
        <v>311.99887195307713</v>
      </c>
    </row>
    <row r="64" spans="1:10" x14ac:dyDescent="0.35">
      <c r="A64">
        <v>56</v>
      </c>
      <c r="B64">
        <v>934.92300720954768</v>
      </c>
      <c r="C64">
        <v>56</v>
      </c>
      <c r="D64">
        <v>924.64515424301999</v>
      </c>
      <c r="E64">
        <v>56</v>
      </c>
      <c r="F64">
        <v>311.67354927321344</v>
      </c>
      <c r="G64">
        <v>56</v>
      </c>
      <c r="H64">
        <v>497.37204045885153</v>
      </c>
      <c r="I64">
        <v>56</v>
      </c>
      <c r="J64">
        <v>-182.81822419992682</v>
      </c>
    </row>
    <row r="65" spans="1:10" x14ac:dyDescent="0.35">
      <c r="A65">
        <v>57</v>
      </c>
      <c r="B65">
        <v>837.5223816785599</v>
      </c>
      <c r="C65">
        <v>57</v>
      </c>
      <c r="D65">
        <v>767.16160714256887</v>
      </c>
      <c r="E65">
        <v>57</v>
      </c>
      <c r="F65">
        <v>-89.057255593078168</v>
      </c>
      <c r="G65">
        <v>57</v>
      </c>
      <c r="H65">
        <v>362.66983212158215</v>
      </c>
      <c r="I65">
        <v>57</v>
      </c>
      <c r="J65">
        <v>-163.66552975912765</v>
      </c>
    </row>
    <row r="66" spans="1:10" x14ac:dyDescent="0.35">
      <c r="A66">
        <v>58</v>
      </c>
      <c r="B66">
        <v>591.71178708923821</v>
      </c>
      <c r="C66">
        <v>58</v>
      </c>
      <c r="D66">
        <v>1040.1140895487918</v>
      </c>
      <c r="E66">
        <v>58</v>
      </c>
      <c r="F66">
        <v>-56.650325032514715</v>
      </c>
      <c r="G66">
        <v>58</v>
      </c>
      <c r="H66">
        <v>-127.13091158551111</v>
      </c>
      <c r="I66">
        <v>58</v>
      </c>
      <c r="J66">
        <v>-245.1305266792009</v>
      </c>
    </row>
    <row r="67" spans="1:10" x14ac:dyDescent="0.35">
      <c r="A67">
        <v>59</v>
      </c>
      <c r="B67">
        <v>346.9007882691302</v>
      </c>
      <c r="C67">
        <v>59</v>
      </c>
      <c r="D67">
        <v>632.15254071083677</v>
      </c>
      <c r="E67">
        <v>59</v>
      </c>
      <c r="F67">
        <v>-76.194499467267093</v>
      </c>
      <c r="G67">
        <v>59</v>
      </c>
      <c r="H67">
        <v>-412.96209088621282</v>
      </c>
      <c r="I67">
        <v>59</v>
      </c>
      <c r="J67">
        <v>-518.29784712825858</v>
      </c>
    </row>
    <row r="68" spans="1:10" x14ac:dyDescent="0.35">
      <c r="A68">
        <v>60</v>
      </c>
      <c r="B68">
        <v>759.88098071444244</v>
      </c>
      <c r="C68">
        <v>60</v>
      </c>
      <c r="D68">
        <v>798.67374536302384</v>
      </c>
      <c r="E68">
        <v>60</v>
      </c>
      <c r="F68">
        <v>-346.22836765061766</v>
      </c>
      <c r="G68">
        <v>60</v>
      </c>
      <c r="H68">
        <v>218.17192737911074</v>
      </c>
      <c r="I68">
        <v>60</v>
      </c>
      <c r="J68">
        <v>-465.54675785855272</v>
      </c>
    </row>
    <row r="69" spans="1:10" x14ac:dyDescent="0.35">
      <c r="A69">
        <v>61</v>
      </c>
      <c r="B69">
        <v>1097.8592543008651</v>
      </c>
      <c r="C69">
        <v>61</v>
      </c>
      <c r="D69">
        <v>792.17804988478383</v>
      </c>
      <c r="E69">
        <v>61</v>
      </c>
      <c r="F69">
        <v>106.84457664193822</v>
      </c>
      <c r="G69">
        <v>61</v>
      </c>
      <c r="H69">
        <v>365.00591376763407</v>
      </c>
      <c r="I69">
        <v>61</v>
      </c>
      <c r="J69">
        <v>-20.020773318301934</v>
      </c>
    </row>
    <row r="70" spans="1:10" x14ac:dyDescent="0.35">
      <c r="A70">
        <v>62</v>
      </c>
      <c r="B70">
        <v>658.41210928396526</v>
      </c>
      <c r="C70">
        <v>62</v>
      </c>
      <c r="D70">
        <v>599.85893424160042</v>
      </c>
      <c r="E70">
        <v>62</v>
      </c>
      <c r="F70">
        <v>340.6184302523157</v>
      </c>
      <c r="G70">
        <v>62</v>
      </c>
      <c r="H70">
        <v>825.45854969177071</v>
      </c>
      <c r="I70">
        <v>62</v>
      </c>
      <c r="J70">
        <v>113.68296971282723</v>
      </c>
    </row>
    <row r="71" spans="1:10" x14ac:dyDescent="0.35">
      <c r="A71">
        <v>63</v>
      </c>
      <c r="B71">
        <v>617.65264937665461</v>
      </c>
      <c r="C71">
        <v>63</v>
      </c>
      <c r="D71">
        <v>691.93317730092451</v>
      </c>
      <c r="E71">
        <v>63</v>
      </c>
      <c r="F71">
        <v>399.88903236202282</v>
      </c>
      <c r="G71">
        <v>63</v>
      </c>
      <c r="H71">
        <v>1089.6322384926768</v>
      </c>
      <c r="I71">
        <v>63</v>
      </c>
      <c r="J71">
        <v>-82.913935795255469</v>
      </c>
    </row>
    <row r="72" spans="1:10" x14ac:dyDescent="0.35">
      <c r="A72">
        <v>64</v>
      </c>
      <c r="B72">
        <v>455.84379566992015</v>
      </c>
      <c r="C72">
        <v>64</v>
      </c>
      <c r="D72">
        <v>795.9507286237365</v>
      </c>
      <c r="E72">
        <v>64</v>
      </c>
      <c r="F72">
        <v>325.52509869426581</v>
      </c>
      <c r="G72">
        <v>64</v>
      </c>
      <c r="H72">
        <v>876.24945689690003</v>
      </c>
      <c r="I72">
        <v>64</v>
      </c>
      <c r="J72">
        <v>265.36071854151413</v>
      </c>
    </row>
    <row r="73" spans="1:10" x14ac:dyDescent="0.35">
      <c r="A73">
        <v>65</v>
      </c>
      <c r="B73">
        <v>254.20843252416995</v>
      </c>
      <c r="C73">
        <v>65</v>
      </c>
      <c r="D73">
        <v>627.79126948139549</v>
      </c>
      <c r="E73">
        <v>65</v>
      </c>
      <c r="F73">
        <v>-77.35858944664929</v>
      </c>
      <c r="G73">
        <v>65</v>
      </c>
      <c r="H73">
        <v>164.90131880615775</v>
      </c>
      <c r="I73">
        <v>65</v>
      </c>
      <c r="J73">
        <v>-157.77314389143308</v>
      </c>
    </row>
    <row r="74" spans="1:10" x14ac:dyDescent="0.35">
      <c r="A74">
        <v>66</v>
      </c>
      <c r="B74">
        <v>358.75225574283866</v>
      </c>
      <c r="C74">
        <v>66</v>
      </c>
      <c r="D74">
        <v>829.78275503471809</v>
      </c>
      <c r="E74">
        <v>66</v>
      </c>
      <c r="F74">
        <v>236.27770025129266</v>
      </c>
      <c r="G74">
        <v>66</v>
      </c>
      <c r="H74">
        <v>457.75131529217788</v>
      </c>
      <c r="I74">
        <v>66</v>
      </c>
      <c r="J74">
        <v>-301.33275013325635</v>
      </c>
    </row>
    <row r="75" spans="1:10" x14ac:dyDescent="0.35">
      <c r="A75">
        <v>67</v>
      </c>
      <c r="B75">
        <v>670.35392244472416</v>
      </c>
      <c r="C75">
        <v>67</v>
      </c>
      <c r="D75">
        <v>465.21026762607721</v>
      </c>
      <c r="E75">
        <v>67</v>
      </c>
      <c r="F75">
        <v>388.26283531131605</v>
      </c>
      <c r="G75">
        <v>67</v>
      </c>
      <c r="H75">
        <v>647.28055196880905</v>
      </c>
      <c r="I75">
        <v>67</v>
      </c>
      <c r="J75">
        <v>266.76819045862834</v>
      </c>
    </row>
    <row r="76" spans="1:10" x14ac:dyDescent="0.35">
      <c r="A76">
        <v>68</v>
      </c>
      <c r="B76">
        <v>1037.7322277929727</v>
      </c>
      <c r="C76">
        <v>68</v>
      </c>
      <c r="D76">
        <v>754.90480665171458</v>
      </c>
      <c r="E76">
        <v>68</v>
      </c>
      <c r="F76">
        <v>363.27720511708537</v>
      </c>
      <c r="G76">
        <v>68</v>
      </c>
      <c r="H76">
        <v>247.90707999985466</v>
      </c>
      <c r="I76">
        <v>68</v>
      </c>
      <c r="J76">
        <v>-674.56323517930059</v>
      </c>
    </row>
    <row r="77" spans="1:10" x14ac:dyDescent="0.35">
      <c r="A77">
        <v>69</v>
      </c>
      <c r="B77">
        <v>613.10153141499609</v>
      </c>
      <c r="C77">
        <v>69</v>
      </c>
      <c r="D77">
        <v>810.1235888187033</v>
      </c>
      <c r="E77">
        <v>69</v>
      </c>
      <c r="F77">
        <v>167.0994740492917</v>
      </c>
      <c r="G77">
        <v>69</v>
      </c>
      <c r="H77">
        <v>388.56298319052439</v>
      </c>
      <c r="I77">
        <v>69</v>
      </c>
      <c r="J77">
        <v>-689.82992884102578</v>
      </c>
    </row>
    <row r="78" spans="1:10" x14ac:dyDescent="0.35">
      <c r="A78">
        <v>70</v>
      </c>
      <c r="B78">
        <v>740.31535763326508</v>
      </c>
      <c r="C78">
        <v>70</v>
      </c>
      <c r="D78">
        <v>1055.1858156906046</v>
      </c>
      <c r="E78">
        <v>70</v>
      </c>
      <c r="F78">
        <v>48.597851148976645</v>
      </c>
      <c r="G78">
        <v>70</v>
      </c>
      <c r="H78">
        <v>412.18392813129844</v>
      </c>
      <c r="I78">
        <v>70</v>
      </c>
      <c r="J78">
        <v>-401.43976107523542</v>
      </c>
    </row>
    <row r="79" spans="1:10" x14ac:dyDescent="0.35">
      <c r="A79">
        <v>71</v>
      </c>
      <c r="B79">
        <v>797.04200060243102</v>
      </c>
      <c r="C79">
        <v>71</v>
      </c>
      <c r="D79">
        <v>313.3855721914706</v>
      </c>
      <c r="E79">
        <v>71</v>
      </c>
      <c r="F79">
        <v>93.304978099969517</v>
      </c>
      <c r="G79">
        <v>71</v>
      </c>
      <c r="H79">
        <v>562.9395322450938</v>
      </c>
      <c r="I79">
        <v>71</v>
      </c>
      <c r="J79">
        <v>133.67167722539125</v>
      </c>
    </row>
    <row r="80" spans="1:10" x14ac:dyDescent="0.35">
      <c r="A80">
        <v>72</v>
      </c>
      <c r="B80">
        <v>410.73797751182502</v>
      </c>
      <c r="C80">
        <v>72</v>
      </c>
      <c r="D80">
        <v>491.36132102459953</v>
      </c>
      <c r="E80">
        <v>72</v>
      </c>
      <c r="F80">
        <v>-64.410496766710367</v>
      </c>
      <c r="G80">
        <v>72</v>
      </c>
      <c r="H80">
        <v>193.91907935919068</v>
      </c>
      <c r="I80">
        <v>72</v>
      </c>
      <c r="J80">
        <v>-317.79565299395534</v>
      </c>
    </row>
    <row r="81" spans="1:10" x14ac:dyDescent="0.35">
      <c r="A81">
        <v>73</v>
      </c>
      <c r="B81">
        <v>612.88713547309783</v>
      </c>
      <c r="C81">
        <v>73</v>
      </c>
      <c r="D81">
        <v>307.60126337499969</v>
      </c>
      <c r="E81">
        <v>73</v>
      </c>
      <c r="F81">
        <v>563.3424478840742</v>
      </c>
      <c r="G81">
        <v>73</v>
      </c>
      <c r="H81">
        <v>246.33272683376018</v>
      </c>
      <c r="I81">
        <v>73</v>
      </c>
      <c r="J81">
        <v>212.42746267624591</v>
      </c>
    </row>
    <row r="82" spans="1:10" x14ac:dyDescent="0.35">
      <c r="A82">
        <v>74</v>
      </c>
      <c r="B82">
        <v>600.64168620510816</v>
      </c>
      <c r="C82">
        <v>74</v>
      </c>
      <c r="D82">
        <v>591.75439800320225</v>
      </c>
      <c r="E82">
        <v>74</v>
      </c>
      <c r="F82">
        <v>-115.44268927286612</v>
      </c>
      <c r="G82">
        <v>74</v>
      </c>
      <c r="H82">
        <v>1341.4646241477271</v>
      </c>
      <c r="I82">
        <v>74</v>
      </c>
      <c r="J82">
        <v>-388.94516587984219</v>
      </c>
    </row>
    <row r="83" spans="1:10" x14ac:dyDescent="0.35">
      <c r="A83">
        <v>75</v>
      </c>
      <c r="B83">
        <v>682.50163722745549</v>
      </c>
      <c r="C83">
        <v>75</v>
      </c>
      <c r="D83">
        <v>889.24333048252197</v>
      </c>
      <c r="E83">
        <v>75</v>
      </c>
      <c r="F83">
        <v>-58.126770154186858</v>
      </c>
      <c r="G83">
        <v>75</v>
      </c>
      <c r="H83">
        <v>213.58874117411258</v>
      </c>
      <c r="I83">
        <v>75</v>
      </c>
      <c r="J83">
        <v>92.199328469822206</v>
      </c>
    </row>
    <row r="84" spans="1:10" x14ac:dyDescent="0.35">
      <c r="A84">
        <v>76</v>
      </c>
      <c r="B84">
        <v>373.86965815377675</v>
      </c>
      <c r="C84">
        <v>76</v>
      </c>
      <c r="D84">
        <v>739.06883126128764</v>
      </c>
      <c r="E84">
        <v>76</v>
      </c>
      <c r="F84">
        <v>53.037673934023204</v>
      </c>
      <c r="G84">
        <v>76</v>
      </c>
      <c r="H84">
        <v>341.64172431061274</v>
      </c>
      <c r="I84">
        <v>76</v>
      </c>
      <c r="J84">
        <v>-388.72490967205829</v>
      </c>
    </row>
    <row r="85" spans="1:10" x14ac:dyDescent="0.35">
      <c r="A85">
        <v>77</v>
      </c>
      <c r="B85">
        <v>749.61848647338149</v>
      </c>
      <c r="C85">
        <v>77</v>
      </c>
      <c r="D85">
        <v>466.89137254967085</v>
      </c>
      <c r="E85">
        <v>77</v>
      </c>
      <c r="F85">
        <v>262.46160352761422</v>
      </c>
      <c r="G85">
        <v>77</v>
      </c>
      <c r="H85">
        <v>817.62429493578429</v>
      </c>
      <c r="I85">
        <v>77</v>
      </c>
      <c r="J85">
        <v>-23.994940780914249</v>
      </c>
    </row>
    <row r="86" spans="1:10" x14ac:dyDescent="0.35">
      <c r="A86">
        <v>78</v>
      </c>
      <c r="B86">
        <v>595.65100318164184</v>
      </c>
      <c r="C86">
        <v>78</v>
      </c>
      <c r="D86">
        <v>770.85399783621176</v>
      </c>
      <c r="E86">
        <v>78</v>
      </c>
      <c r="F86">
        <v>155.07456405330413</v>
      </c>
      <c r="G86">
        <v>78</v>
      </c>
      <c r="H86">
        <v>176.36893688230555</v>
      </c>
      <c r="I86">
        <v>78</v>
      </c>
      <c r="J86">
        <v>-446.78804564584692</v>
      </c>
    </row>
    <row r="87" spans="1:10" x14ac:dyDescent="0.35">
      <c r="A87">
        <v>79</v>
      </c>
      <c r="B87">
        <v>679.07452694682934</v>
      </c>
      <c r="C87">
        <v>79</v>
      </c>
      <c r="D87">
        <v>543.95817049394805</v>
      </c>
      <c r="E87">
        <v>79</v>
      </c>
      <c r="F87">
        <v>41.895403517097016</v>
      </c>
      <c r="G87">
        <v>79</v>
      </c>
      <c r="H87">
        <v>274.466628550118</v>
      </c>
      <c r="I87">
        <v>79</v>
      </c>
      <c r="J87">
        <v>-177.98348244217186</v>
      </c>
    </row>
    <row r="88" spans="1:10" x14ac:dyDescent="0.35">
      <c r="A88">
        <v>80</v>
      </c>
      <c r="B88">
        <v>607.82818452273659</v>
      </c>
      <c r="C88">
        <v>80</v>
      </c>
      <c r="D88">
        <v>908.94645059787717</v>
      </c>
      <c r="E88">
        <v>80</v>
      </c>
      <c r="F88">
        <v>617.66814586874284</v>
      </c>
      <c r="G88">
        <v>80</v>
      </c>
      <c r="H88">
        <v>4.8898625421389852</v>
      </c>
      <c r="I88">
        <v>80</v>
      </c>
      <c r="J88">
        <v>-322.98584074248504</v>
      </c>
    </row>
    <row r="89" spans="1:10" x14ac:dyDescent="0.35">
      <c r="A89">
        <v>81</v>
      </c>
      <c r="B89">
        <v>678.95150724584903</v>
      </c>
      <c r="C89">
        <v>81</v>
      </c>
      <c r="D89">
        <v>545.27400949060655</v>
      </c>
      <c r="E89">
        <v>81</v>
      </c>
      <c r="F89">
        <v>79.43023495248589</v>
      </c>
      <c r="G89">
        <v>81</v>
      </c>
      <c r="H89">
        <v>508.76091680699926</v>
      </c>
      <c r="I89">
        <v>81</v>
      </c>
      <c r="J89">
        <v>-621.03208833473468</v>
      </c>
    </row>
    <row r="90" spans="1:10" x14ac:dyDescent="0.35">
      <c r="A90">
        <v>82</v>
      </c>
      <c r="B90">
        <v>486.33787974053661</v>
      </c>
      <c r="C90">
        <v>82</v>
      </c>
      <c r="D90">
        <v>601.29187259701484</v>
      </c>
      <c r="E90">
        <v>82</v>
      </c>
      <c r="F90">
        <v>-74.379342388700422</v>
      </c>
      <c r="G90">
        <v>82</v>
      </c>
      <c r="H90">
        <v>395.35070090740635</v>
      </c>
      <c r="I90">
        <v>82</v>
      </c>
      <c r="J90">
        <v>78.598217412884821</v>
      </c>
    </row>
    <row r="91" spans="1:10" x14ac:dyDescent="0.35">
      <c r="A91">
        <v>83</v>
      </c>
      <c r="B91">
        <v>521.40259055943739</v>
      </c>
      <c r="C91">
        <v>83</v>
      </c>
      <c r="D91">
        <v>844.1346716778512</v>
      </c>
      <c r="E91">
        <v>83</v>
      </c>
      <c r="F91">
        <v>277.62083031344935</v>
      </c>
      <c r="G91">
        <v>83</v>
      </c>
      <c r="H91">
        <v>-135.76435871988605</v>
      </c>
      <c r="I91">
        <v>83</v>
      </c>
      <c r="J91">
        <v>166.5978193078044</v>
      </c>
    </row>
    <row r="92" spans="1:10" x14ac:dyDescent="0.35">
      <c r="A92">
        <v>84</v>
      </c>
      <c r="B92">
        <v>996.16768401643844</v>
      </c>
      <c r="C92">
        <v>84</v>
      </c>
      <c r="D92">
        <v>635.5891206424576</v>
      </c>
      <c r="E92">
        <v>84</v>
      </c>
      <c r="F92">
        <v>-93.031358789886639</v>
      </c>
      <c r="G92">
        <v>84</v>
      </c>
      <c r="H92">
        <v>769.99266858344606</v>
      </c>
      <c r="I92">
        <v>84</v>
      </c>
      <c r="J92">
        <v>-287.78496031919173</v>
      </c>
    </row>
    <row r="93" spans="1:10" x14ac:dyDescent="0.35">
      <c r="A93">
        <v>85</v>
      </c>
      <c r="B93">
        <v>689.63347751131437</v>
      </c>
      <c r="C93">
        <v>85</v>
      </c>
      <c r="D93">
        <v>1009.187921820603</v>
      </c>
      <c r="E93">
        <v>85</v>
      </c>
      <c r="F93">
        <v>21.353892452973554</v>
      </c>
      <c r="G93">
        <v>85</v>
      </c>
      <c r="H93">
        <v>477.15480684470992</v>
      </c>
      <c r="I93">
        <v>85</v>
      </c>
      <c r="J93">
        <v>-467.67705286947432</v>
      </c>
    </row>
    <row r="94" spans="1:10" x14ac:dyDescent="0.35">
      <c r="A94">
        <v>86</v>
      </c>
      <c r="B94">
        <v>605.22135867903341</v>
      </c>
      <c r="C94">
        <v>86</v>
      </c>
      <c r="D94">
        <v>735.89742155049714</v>
      </c>
      <c r="E94">
        <v>86</v>
      </c>
      <c r="F94">
        <v>291.79118238901691</v>
      </c>
      <c r="G94">
        <v>86</v>
      </c>
      <c r="H94">
        <v>457.4999403788737</v>
      </c>
      <c r="I94">
        <v>86</v>
      </c>
      <c r="J94">
        <v>-553.1326348521211</v>
      </c>
    </row>
    <row r="95" spans="1:10" x14ac:dyDescent="0.35">
      <c r="A95">
        <v>87</v>
      </c>
      <c r="B95">
        <v>682.93434752585142</v>
      </c>
      <c r="C95">
        <v>87</v>
      </c>
      <c r="D95">
        <v>421.45177208971268</v>
      </c>
      <c r="E95">
        <v>87</v>
      </c>
      <c r="F95">
        <v>-573.80848683997544</v>
      </c>
      <c r="G95">
        <v>87</v>
      </c>
      <c r="H95">
        <v>268.54346443876614</v>
      </c>
      <c r="I95">
        <v>87</v>
      </c>
      <c r="J95">
        <v>-428.24803426246905</v>
      </c>
    </row>
    <row r="96" spans="1:10" x14ac:dyDescent="0.35">
      <c r="A96">
        <v>88</v>
      </c>
      <c r="B96">
        <v>904.17810141330119</v>
      </c>
      <c r="C96">
        <v>88</v>
      </c>
      <c r="D96">
        <v>503.31291350377285</v>
      </c>
      <c r="E96">
        <v>88</v>
      </c>
      <c r="F96">
        <v>34.602733824245448</v>
      </c>
      <c r="G96">
        <v>88</v>
      </c>
      <c r="H96">
        <v>77.953260519672483</v>
      </c>
      <c r="I96">
        <v>88</v>
      </c>
      <c r="J96">
        <v>-117.94978314608528</v>
      </c>
    </row>
    <row r="97" spans="1:10" x14ac:dyDescent="0.35">
      <c r="A97">
        <v>89</v>
      </c>
      <c r="B97">
        <v>465.52424997808987</v>
      </c>
      <c r="C97">
        <v>89</v>
      </c>
      <c r="D97">
        <v>496.37978521395564</v>
      </c>
      <c r="E97">
        <v>89</v>
      </c>
      <c r="F97">
        <v>170.40341826903875</v>
      </c>
      <c r="G97">
        <v>89</v>
      </c>
      <c r="H97">
        <v>609.53616896536005</v>
      </c>
      <c r="I97">
        <v>89</v>
      </c>
      <c r="J97">
        <v>-137.20863890783914</v>
      </c>
    </row>
    <row r="98" spans="1:10" x14ac:dyDescent="0.35">
      <c r="A98">
        <v>90</v>
      </c>
      <c r="B98">
        <v>603.52427964577976</v>
      </c>
      <c r="C98">
        <v>90</v>
      </c>
      <c r="D98">
        <v>298.73598009325912</v>
      </c>
      <c r="E98">
        <v>90</v>
      </c>
      <c r="F98">
        <v>364.69132752060437</v>
      </c>
      <c r="G98">
        <v>90</v>
      </c>
      <c r="H98">
        <v>163.95855069051885</v>
      </c>
      <c r="I98">
        <v>90</v>
      </c>
      <c r="J98">
        <v>-172.6682316488166</v>
      </c>
    </row>
    <row r="99" spans="1:10" x14ac:dyDescent="0.35">
      <c r="A99">
        <v>91</v>
      </c>
      <c r="B99">
        <v>255.11494448976015</v>
      </c>
      <c r="C99">
        <v>91</v>
      </c>
      <c r="D99">
        <v>708.27893250752072</v>
      </c>
      <c r="E99">
        <v>91</v>
      </c>
      <c r="F99">
        <v>540.99558529015053</v>
      </c>
      <c r="G99">
        <v>91</v>
      </c>
      <c r="H99">
        <v>-95.289248704879185</v>
      </c>
      <c r="I99">
        <v>91</v>
      </c>
      <c r="J99">
        <v>-673.00736513529637</v>
      </c>
    </row>
    <row r="100" spans="1:10" x14ac:dyDescent="0.35">
      <c r="A100">
        <v>92</v>
      </c>
      <c r="B100">
        <v>537.05994830640714</v>
      </c>
      <c r="C100">
        <v>92</v>
      </c>
      <c r="D100">
        <v>314.76558047956865</v>
      </c>
      <c r="E100">
        <v>92</v>
      </c>
      <c r="F100">
        <v>-259.94930913497967</v>
      </c>
      <c r="G100">
        <v>92</v>
      </c>
      <c r="H100">
        <v>473.117847757557</v>
      </c>
      <c r="I100">
        <v>92</v>
      </c>
      <c r="J100">
        <v>68.194734167202057</v>
      </c>
    </row>
    <row r="101" spans="1:10" x14ac:dyDescent="0.35">
      <c r="A101">
        <v>93</v>
      </c>
      <c r="B101">
        <v>536.21461763329751</v>
      </c>
      <c r="C101">
        <v>93</v>
      </c>
      <c r="D101">
        <v>897.68734170971788</v>
      </c>
      <c r="E101">
        <v>93</v>
      </c>
      <c r="F101">
        <v>36.784045524435989</v>
      </c>
      <c r="G101">
        <v>93</v>
      </c>
      <c r="H101">
        <v>539.16279125340918</v>
      </c>
      <c r="I101">
        <v>93</v>
      </c>
      <c r="J101">
        <v>-109.54770767075176</v>
      </c>
    </row>
    <row r="102" spans="1:10" x14ac:dyDescent="0.35">
      <c r="A102">
        <v>94</v>
      </c>
      <c r="B102">
        <v>569.98262747427748</v>
      </c>
      <c r="C102">
        <v>94</v>
      </c>
      <c r="D102">
        <v>597.5448712411586</v>
      </c>
      <c r="E102">
        <v>94</v>
      </c>
      <c r="F102">
        <v>230.27784489948385</v>
      </c>
      <c r="G102">
        <v>94</v>
      </c>
      <c r="H102">
        <v>846.94563155520427</v>
      </c>
      <c r="I102">
        <v>94</v>
      </c>
      <c r="J102">
        <v>780.6665037574478</v>
      </c>
    </row>
    <row r="103" spans="1:10" x14ac:dyDescent="0.35">
      <c r="A103">
        <v>95</v>
      </c>
      <c r="B103">
        <v>806.14441668368386</v>
      </c>
      <c r="C103">
        <v>95</v>
      </c>
      <c r="D103">
        <v>537.4975047516723</v>
      </c>
      <c r="E103">
        <v>95</v>
      </c>
      <c r="F103">
        <v>339.78926187489515</v>
      </c>
      <c r="G103">
        <v>95</v>
      </c>
      <c r="H103">
        <v>650.97229643358503</v>
      </c>
      <c r="I103">
        <v>95</v>
      </c>
      <c r="J103">
        <v>13.869446725494669</v>
      </c>
    </row>
    <row r="104" spans="1:10" x14ac:dyDescent="0.35">
      <c r="A104">
        <v>96</v>
      </c>
      <c r="B104">
        <v>823.94070870008261</v>
      </c>
      <c r="C104">
        <v>96</v>
      </c>
      <c r="D104">
        <v>908.15279790349314</v>
      </c>
      <c r="E104">
        <v>96</v>
      </c>
      <c r="F104">
        <v>207.48938927012742</v>
      </c>
      <c r="G104">
        <v>96</v>
      </c>
      <c r="H104">
        <v>87.447528449004267</v>
      </c>
      <c r="I104">
        <v>96</v>
      </c>
      <c r="J104">
        <v>48.936437026326928</v>
      </c>
    </row>
    <row r="105" spans="1:10" x14ac:dyDescent="0.35">
      <c r="A105">
        <v>97</v>
      </c>
      <c r="B105">
        <v>507.97588872500478</v>
      </c>
      <c r="C105">
        <v>97</v>
      </c>
      <c r="D105">
        <v>626.90159689531663</v>
      </c>
      <c r="E105">
        <v>97</v>
      </c>
      <c r="F105">
        <v>-195.69907462446361</v>
      </c>
      <c r="G105">
        <v>97</v>
      </c>
      <c r="H105">
        <v>-83.524786462701798</v>
      </c>
      <c r="I105">
        <v>97</v>
      </c>
      <c r="J105">
        <v>-58.424514358096815</v>
      </c>
    </row>
    <row r="106" spans="1:10" x14ac:dyDescent="0.35">
      <c r="A106">
        <v>98</v>
      </c>
      <c r="B106">
        <v>483.87997421803459</v>
      </c>
      <c r="C106">
        <v>98</v>
      </c>
      <c r="D106">
        <v>532.7341260251045</v>
      </c>
      <c r="E106">
        <v>98</v>
      </c>
      <c r="F106">
        <v>295.46091076048288</v>
      </c>
      <c r="G106">
        <v>98</v>
      </c>
      <c r="H106">
        <v>734.50464758042654</v>
      </c>
      <c r="I106">
        <v>98</v>
      </c>
      <c r="J106">
        <v>-505.26852955740532</v>
      </c>
    </row>
    <row r="107" spans="1:10" x14ac:dyDescent="0.35">
      <c r="A107">
        <v>99</v>
      </c>
      <c r="B107">
        <v>755.91997565589747</v>
      </c>
      <c r="C107">
        <v>99</v>
      </c>
      <c r="D107">
        <v>803.31940698237122</v>
      </c>
      <c r="E107">
        <v>99</v>
      </c>
      <c r="F107">
        <v>415.59645396281462</v>
      </c>
      <c r="G107">
        <v>99</v>
      </c>
      <c r="H107">
        <v>783.86643293611064</v>
      </c>
      <c r="I107">
        <v>99</v>
      </c>
      <c r="J107">
        <v>-282.83872585494032</v>
      </c>
    </row>
    <row r="108" spans="1:10" x14ac:dyDescent="0.35">
      <c r="A108">
        <v>100</v>
      </c>
      <c r="B108">
        <v>645.62383175317041</v>
      </c>
      <c r="C108">
        <v>100</v>
      </c>
      <c r="D108">
        <v>1120.3482524881879</v>
      </c>
      <c r="E108">
        <v>100</v>
      </c>
      <c r="F108">
        <v>282.84576674705727</v>
      </c>
      <c r="G108">
        <v>100</v>
      </c>
      <c r="H108">
        <v>318.81503171531017</v>
      </c>
      <c r="I108">
        <v>100</v>
      </c>
      <c r="J108">
        <v>-50.195072715320322</v>
      </c>
    </row>
    <row r="109" spans="1:10" x14ac:dyDescent="0.35">
      <c r="A109">
        <v>101</v>
      </c>
      <c r="B109">
        <v>732.34182038953804</v>
      </c>
      <c r="C109">
        <v>101</v>
      </c>
      <c r="D109">
        <v>582.2923489615664</v>
      </c>
      <c r="E109">
        <v>101</v>
      </c>
      <c r="F109">
        <v>144.91807980019843</v>
      </c>
      <c r="G109">
        <v>101</v>
      </c>
      <c r="H109">
        <v>534.05383939072942</v>
      </c>
      <c r="I109">
        <v>101</v>
      </c>
      <c r="J109">
        <v>492.24299822935927</v>
      </c>
    </row>
    <row r="110" spans="1:10" x14ac:dyDescent="0.35">
      <c r="A110">
        <v>102</v>
      </c>
      <c r="B110">
        <v>803.94271632946686</v>
      </c>
      <c r="C110">
        <v>102</v>
      </c>
      <c r="D110">
        <v>992.56159438285681</v>
      </c>
      <c r="E110">
        <v>102</v>
      </c>
      <c r="F110">
        <v>456.03536571595953</v>
      </c>
      <c r="G110">
        <v>102</v>
      </c>
      <c r="H110">
        <v>647.70388820268818</v>
      </c>
      <c r="I110">
        <v>102</v>
      </c>
      <c r="J110">
        <v>-405.94052942602389</v>
      </c>
    </row>
    <row r="111" spans="1:10" x14ac:dyDescent="0.35">
      <c r="A111">
        <v>103</v>
      </c>
      <c r="B111">
        <v>653.95002179923438</v>
      </c>
      <c r="C111">
        <v>103</v>
      </c>
      <c r="D111">
        <v>583.16357637150861</v>
      </c>
      <c r="E111">
        <v>103</v>
      </c>
      <c r="F111">
        <v>-4.3080418208366211</v>
      </c>
      <c r="G111">
        <v>103</v>
      </c>
      <c r="H111">
        <v>889.50978189236844</v>
      </c>
      <c r="I111">
        <v>103</v>
      </c>
      <c r="J111">
        <v>-369.30605062639893</v>
      </c>
    </row>
    <row r="112" spans="1:10" x14ac:dyDescent="0.35">
      <c r="A112">
        <v>104</v>
      </c>
      <c r="B112">
        <v>720.11920132485989</v>
      </c>
      <c r="C112">
        <v>104</v>
      </c>
      <c r="D112">
        <v>593.33905414628157</v>
      </c>
      <c r="E112">
        <v>104</v>
      </c>
      <c r="F112">
        <v>801.67349235713368</v>
      </c>
      <c r="G112">
        <v>104</v>
      </c>
      <c r="H112">
        <v>614.97976853874593</v>
      </c>
      <c r="I112">
        <v>104</v>
      </c>
      <c r="J112">
        <v>236.10146044163673</v>
      </c>
    </row>
    <row r="113" spans="1:10" x14ac:dyDescent="0.35">
      <c r="A113">
        <v>105</v>
      </c>
      <c r="B113">
        <v>627.44015740887323</v>
      </c>
      <c r="C113">
        <v>105</v>
      </c>
      <c r="D113">
        <v>463.84437893459585</v>
      </c>
      <c r="E113">
        <v>105</v>
      </c>
      <c r="F113">
        <v>179.29202538838899</v>
      </c>
      <c r="G113">
        <v>105</v>
      </c>
      <c r="H113">
        <v>678.03831079046984</v>
      </c>
      <c r="I113">
        <v>105</v>
      </c>
      <c r="J113">
        <v>-477.18534161749284</v>
      </c>
    </row>
    <row r="114" spans="1:10" x14ac:dyDescent="0.35">
      <c r="A114">
        <v>106</v>
      </c>
      <c r="B114">
        <v>562.77390006174994</v>
      </c>
      <c r="C114">
        <v>106</v>
      </c>
      <c r="D114">
        <v>523.003534723656</v>
      </c>
      <c r="E114">
        <v>106</v>
      </c>
      <c r="F114">
        <v>-110.80960502221365</v>
      </c>
      <c r="G114">
        <v>106</v>
      </c>
      <c r="H114">
        <v>925.57453418789078</v>
      </c>
      <c r="I114">
        <v>106</v>
      </c>
      <c r="J114">
        <v>187.59974747075114</v>
      </c>
    </row>
    <row r="115" spans="1:10" x14ac:dyDescent="0.35">
      <c r="A115">
        <v>107</v>
      </c>
      <c r="B115">
        <v>831.56243441281003</v>
      </c>
      <c r="C115">
        <v>107</v>
      </c>
      <c r="D115">
        <v>1005.839455670663</v>
      </c>
      <c r="E115">
        <v>107</v>
      </c>
      <c r="F115">
        <v>310.90722441104322</v>
      </c>
      <c r="G115">
        <v>107</v>
      </c>
      <c r="H115">
        <v>824.24022572874924</v>
      </c>
      <c r="I115">
        <v>107</v>
      </c>
      <c r="J115">
        <v>-72.950382720486374</v>
      </c>
    </row>
    <row r="116" spans="1:10" x14ac:dyDescent="0.35">
      <c r="A116">
        <v>108</v>
      </c>
      <c r="B116">
        <v>999.2340540495145</v>
      </c>
      <c r="C116">
        <v>108</v>
      </c>
      <c r="D116">
        <v>562.45588590133343</v>
      </c>
      <c r="E116">
        <v>108</v>
      </c>
      <c r="F116">
        <v>28.15568541318369</v>
      </c>
      <c r="G116">
        <v>108</v>
      </c>
      <c r="H116">
        <v>657.11192172309995</v>
      </c>
      <c r="I116">
        <v>108</v>
      </c>
      <c r="J116">
        <v>-379.18399464552976</v>
      </c>
    </row>
    <row r="117" spans="1:10" x14ac:dyDescent="0.35">
      <c r="A117">
        <v>109</v>
      </c>
      <c r="B117">
        <v>946.82648524099886</v>
      </c>
      <c r="C117">
        <v>109</v>
      </c>
      <c r="D117">
        <v>709.58942490289314</v>
      </c>
      <c r="E117">
        <v>109</v>
      </c>
      <c r="F117">
        <v>-214.39882897820934</v>
      </c>
      <c r="G117">
        <v>109</v>
      </c>
      <c r="H117">
        <v>1477.7370988924986</v>
      </c>
      <c r="I117">
        <v>109</v>
      </c>
      <c r="J117">
        <v>-497.00738330804523</v>
      </c>
    </row>
    <row r="118" spans="1:10" x14ac:dyDescent="0.35">
      <c r="A118">
        <v>110</v>
      </c>
      <c r="B118">
        <v>666.45296973591167</v>
      </c>
      <c r="C118">
        <v>110</v>
      </c>
      <c r="D118">
        <v>573.26469575713588</v>
      </c>
      <c r="E118">
        <v>110</v>
      </c>
      <c r="F118">
        <v>-56.455743640816507</v>
      </c>
      <c r="G118">
        <v>110</v>
      </c>
      <c r="H118">
        <v>918.17009686036852</v>
      </c>
      <c r="I118">
        <v>110</v>
      </c>
      <c r="J118">
        <v>-190.29830723867937</v>
      </c>
    </row>
    <row r="119" spans="1:10" x14ac:dyDescent="0.35">
      <c r="A119">
        <v>111</v>
      </c>
      <c r="B119">
        <v>651.52878190739966</v>
      </c>
      <c r="C119">
        <v>111</v>
      </c>
      <c r="D119">
        <v>729.45878038481396</v>
      </c>
      <c r="E119">
        <v>111</v>
      </c>
      <c r="F119">
        <v>-66.582303020550341</v>
      </c>
      <c r="G119">
        <v>111</v>
      </c>
      <c r="H119">
        <v>946.13785468548008</v>
      </c>
      <c r="I119">
        <v>111</v>
      </c>
      <c r="J119">
        <v>-464.92076319965679</v>
      </c>
    </row>
    <row r="120" spans="1:10" x14ac:dyDescent="0.35">
      <c r="A120">
        <v>112</v>
      </c>
      <c r="B120">
        <v>374.67954703404564</v>
      </c>
      <c r="C120">
        <v>112</v>
      </c>
      <c r="D120">
        <v>597.10911165609923</v>
      </c>
      <c r="E120">
        <v>112</v>
      </c>
      <c r="F120">
        <v>-284.76092360778136</v>
      </c>
      <c r="G120">
        <v>112</v>
      </c>
      <c r="H120">
        <v>416.96878557122682</v>
      </c>
      <c r="I120">
        <v>112</v>
      </c>
      <c r="J120">
        <v>43.194108952567774</v>
      </c>
    </row>
    <row r="121" spans="1:10" x14ac:dyDescent="0.35">
      <c r="A121">
        <v>113</v>
      </c>
      <c r="B121">
        <v>850.28175032045249</v>
      </c>
      <c r="C121">
        <v>113</v>
      </c>
      <c r="D121">
        <v>664.2391271497188</v>
      </c>
      <c r="E121">
        <v>113</v>
      </c>
      <c r="F121">
        <v>45.812474014667963</v>
      </c>
      <c r="G121">
        <v>113</v>
      </c>
      <c r="H121">
        <v>417.20334877277492</v>
      </c>
      <c r="I121">
        <v>113</v>
      </c>
      <c r="J121">
        <v>-511.18644082500509</v>
      </c>
    </row>
    <row r="122" spans="1:10" x14ac:dyDescent="0.35">
      <c r="A122">
        <v>114</v>
      </c>
      <c r="B122">
        <v>645.99467691123971</v>
      </c>
      <c r="C122">
        <v>114</v>
      </c>
      <c r="D122">
        <v>146.68037473190049</v>
      </c>
      <c r="E122">
        <v>114</v>
      </c>
      <c r="F122">
        <v>76.064162556775116</v>
      </c>
      <c r="G122">
        <v>114</v>
      </c>
      <c r="H122">
        <v>451.28631491094046</v>
      </c>
      <c r="I122">
        <v>114</v>
      </c>
      <c r="J122">
        <v>-579.23098665948828</v>
      </c>
    </row>
    <row r="123" spans="1:10" x14ac:dyDescent="0.35">
      <c r="A123">
        <v>115</v>
      </c>
      <c r="B123">
        <v>272.45292025756163</v>
      </c>
      <c r="C123">
        <v>115</v>
      </c>
      <c r="D123">
        <v>465.31894595240294</v>
      </c>
      <c r="E123">
        <v>115</v>
      </c>
      <c r="F123">
        <v>-351.47249641908724</v>
      </c>
      <c r="G123">
        <v>115</v>
      </c>
      <c r="H123">
        <v>696.54550907020734</v>
      </c>
      <c r="I123">
        <v>115</v>
      </c>
      <c r="J123">
        <v>-296.03978655419581</v>
      </c>
    </row>
    <row r="124" spans="1:10" x14ac:dyDescent="0.35">
      <c r="A124">
        <v>116</v>
      </c>
      <c r="B124">
        <v>685.31403037909138</v>
      </c>
      <c r="C124">
        <v>116</v>
      </c>
      <c r="D124">
        <v>662.31046637395366</v>
      </c>
      <c r="E124">
        <v>116</v>
      </c>
      <c r="F124">
        <v>243.73298855709888</v>
      </c>
      <c r="G124">
        <v>116</v>
      </c>
      <c r="H124">
        <v>47.788277079865168</v>
      </c>
      <c r="I124">
        <v>116</v>
      </c>
      <c r="J124">
        <v>-577.89387228023702</v>
      </c>
    </row>
    <row r="125" spans="1:10" x14ac:dyDescent="0.35">
      <c r="A125">
        <v>117</v>
      </c>
      <c r="B125">
        <v>403.17580466465301</v>
      </c>
      <c r="C125">
        <v>117</v>
      </c>
      <c r="D125">
        <v>513.65359916825469</v>
      </c>
      <c r="E125">
        <v>117</v>
      </c>
      <c r="F125">
        <v>277.60467084733648</v>
      </c>
      <c r="G125">
        <v>117</v>
      </c>
      <c r="H125">
        <v>9.6670475271799887</v>
      </c>
      <c r="I125">
        <v>117</v>
      </c>
      <c r="J125">
        <v>-613.59224365446062</v>
      </c>
    </row>
    <row r="126" spans="1:10" x14ac:dyDescent="0.35">
      <c r="A126">
        <v>118</v>
      </c>
      <c r="B126">
        <v>665.82084601749443</v>
      </c>
      <c r="C126">
        <v>118</v>
      </c>
      <c r="D126">
        <v>581.11437185992975</v>
      </c>
      <c r="E126">
        <v>118</v>
      </c>
      <c r="F126">
        <v>-15.162026504613522</v>
      </c>
      <c r="G126">
        <v>118</v>
      </c>
      <c r="H126">
        <v>183.51607017770061</v>
      </c>
      <c r="I126">
        <v>118</v>
      </c>
      <c r="J126">
        <v>-147.99784936232132</v>
      </c>
    </row>
    <row r="127" spans="1:10" x14ac:dyDescent="0.35">
      <c r="A127">
        <v>119</v>
      </c>
      <c r="B127">
        <v>725.08610844283976</v>
      </c>
      <c r="C127">
        <v>119</v>
      </c>
      <c r="D127">
        <v>709.58992824144684</v>
      </c>
      <c r="E127">
        <v>119</v>
      </c>
      <c r="F127">
        <v>58.266034350477895</v>
      </c>
      <c r="G127">
        <v>119</v>
      </c>
      <c r="H127">
        <v>425.17996869203313</v>
      </c>
      <c r="I127">
        <v>119</v>
      </c>
      <c r="J127">
        <v>-2.9837881450684733</v>
      </c>
    </row>
    <row r="128" spans="1:10" x14ac:dyDescent="0.35">
      <c r="A128">
        <v>120</v>
      </c>
      <c r="B128">
        <v>923.04487600398488</v>
      </c>
      <c r="C128">
        <v>120</v>
      </c>
      <c r="D128">
        <v>685.12264577542771</v>
      </c>
      <c r="E128">
        <v>120</v>
      </c>
      <c r="F128">
        <v>-132.11080161990657</v>
      </c>
      <c r="G128">
        <v>120</v>
      </c>
      <c r="H128">
        <v>-60.897755723924831</v>
      </c>
      <c r="I128">
        <v>120</v>
      </c>
      <c r="J128">
        <v>-44.996914190808411</v>
      </c>
    </row>
    <row r="129" spans="1:10" x14ac:dyDescent="0.35">
      <c r="A129">
        <v>121</v>
      </c>
      <c r="B129">
        <v>438.31415157868923</v>
      </c>
      <c r="C129">
        <v>121</v>
      </c>
      <c r="D129">
        <v>786.32840079767402</v>
      </c>
      <c r="E129">
        <v>121</v>
      </c>
      <c r="F129">
        <v>403.87438609984298</v>
      </c>
      <c r="G129">
        <v>121</v>
      </c>
      <c r="H129">
        <v>548.66333592955993</v>
      </c>
      <c r="I129">
        <v>121</v>
      </c>
      <c r="J129">
        <v>684.8603856716544</v>
      </c>
    </row>
    <row r="130" spans="1:10" x14ac:dyDescent="0.35">
      <c r="A130">
        <v>122</v>
      </c>
      <c r="B130">
        <v>882.5638431363966</v>
      </c>
      <c r="C130">
        <v>122</v>
      </c>
      <c r="D130">
        <v>1104.7436064182957</v>
      </c>
      <c r="E130">
        <v>122</v>
      </c>
      <c r="F130">
        <v>-120.89052508920102</v>
      </c>
      <c r="G130">
        <v>122</v>
      </c>
      <c r="H130">
        <v>290.11072149458539</v>
      </c>
      <c r="I130">
        <v>122</v>
      </c>
      <c r="J130">
        <v>223.80722545030608</v>
      </c>
    </row>
    <row r="131" spans="1:10" x14ac:dyDescent="0.35">
      <c r="A131">
        <v>123</v>
      </c>
      <c r="B131">
        <v>553.69192661872842</v>
      </c>
      <c r="C131">
        <v>123</v>
      </c>
      <c r="D131">
        <v>323.8509087552934</v>
      </c>
      <c r="E131">
        <v>123</v>
      </c>
      <c r="F131">
        <v>218.55402100844807</v>
      </c>
      <c r="G131">
        <v>123</v>
      </c>
      <c r="H131">
        <v>57.866422679183188</v>
      </c>
      <c r="I131">
        <v>123</v>
      </c>
      <c r="J131">
        <v>-361.01717190521606</v>
      </c>
    </row>
    <row r="132" spans="1:10" x14ac:dyDescent="0.35">
      <c r="A132">
        <v>124</v>
      </c>
      <c r="B132">
        <v>728.87888494123274</v>
      </c>
      <c r="C132">
        <v>124</v>
      </c>
      <c r="D132">
        <v>446.88177531723682</v>
      </c>
      <c r="E132">
        <v>124</v>
      </c>
      <c r="F132">
        <v>-141.5579090092595</v>
      </c>
      <c r="G132">
        <v>124</v>
      </c>
      <c r="H132">
        <v>483.52951868850539</v>
      </c>
      <c r="I132">
        <v>124</v>
      </c>
      <c r="J132">
        <v>-680.8724695269193</v>
      </c>
    </row>
    <row r="133" spans="1:10" x14ac:dyDescent="0.35">
      <c r="A133">
        <v>125</v>
      </c>
      <c r="B133">
        <v>721.97012611557966</v>
      </c>
      <c r="C133">
        <v>125</v>
      </c>
      <c r="D133">
        <v>548.77016488264553</v>
      </c>
      <c r="E133">
        <v>125</v>
      </c>
      <c r="F133">
        <v>397.111378064718</v>
      </c>
      <c r="G133">
        <v>125</v>
      </c>
      <c r="H133">
        <v>639.89520301333164</v>
      </c>
      <c r="I133">
        <v>125</v>
      </c>
      <c r="J133">
        <v>-493.22863190238047</v>
      </c>
    </row>
    <row r="134" spans="1:10" x14ac:dyDescent="0.35">
      <c r="A134">
        <v>126</v>
      </c>
      <c r="B134">
        <v>272.26053180836863</v>
      </c>
      <c r="C134">
        <v>126</v>
      </c>
      <c r="D134">
        <v>648.46896069082743</v>
      </c>
      <c r="E134">
        <v>126</v>
      </c>
      <c r="F134">
        <v>512.52818854013913</v>
      </c>
      <c r="G134">
        <v>126</v>
      </c>
      <c r="H134">
        <v>505.84896191537985</v>
      </c>
      <c r="I134">
        <v>126</v>
      </c>
      <c r="J134">
        <v>-139.69795122050007</v>
      </c>
    </row>
    <row r="135" spans="1:10" x14ac:dyDescent="0.35">
      <c r="A135">
        <v>127</v>
      </c>
      <c r="B135">
        <v>657.82361160082053</v>
      </c>
      <c r="C135">
        <v>127</v>
      </c>
      <c r="D135">
        <v>688.97898162562683</v>
      </c>
      <c r="E135">
        <v>127</v>
      </c>
      <c r="F135">
        <v>141.94624219571287</v>
      </c>
      <c r="G135">
        <v>127</v>
      </c>
      <c r="H135">
        <v>868.99574470548282</v>
      </c>
      <c r="I135">
        <v>127</v>
      </c>
      <c r="J135">
        <v>-391.05284826526474</v>
      </c>
    </row>
    <row r="136" spans="1:10" x14ac:dyDescent="0.35">
      <c r="A136">
        <v>128</v>
      </c>
      <c r="B136">
        <v>980.5792816064361</v>
      </c>
      <c r="C136">
        <v>128</v>
      </c>
      <c r="D136">
        <v>414.69543611965616</v>
      </c>
      <c r="E136">
        <v>128</v>
      </c>
      <c r="F136">
        <v>186.57592852545071</v>
      </c>
      <c r="G136">
        <v>128</v>
      </c>
      <c r="H136">
        <v>649.38437478849835</v>
      </c>
      <c r="I136">
        <v>128</v>
      </c>
      <c r="J136">
        <v>-271.49841729434814</v>
      </c>
    </row>
    <row r="137" spans="1:10" x14ac:dyDescent="0.35">
      <c r="A137">
        <v>129</v>
      </c>
      <c r="B137">
        <v>607.13194092589868</v>
      </c>
      <c r="C137">
        <v>129</v>
      </c>
      <c r="D137">
        <v>614.40667298388951</v>
      </c>
      <c r="E137">
        <v>129</v>
      </c>
      <c r="F137">
        <v>57.768958067910191</v>
      </c>
      <c r="G137">
        <v>129</v>
      </c>
      <c r="H137">
        <v>743.06494261812782</v>
      </c>
      <c r="I137">
        <v>129</v>
      </c>
      <c r="J137">
        <v>-316.95901298639455</v>
      </c>
    </row>
    <row r="138" spans="1:10" x14ac:dyDescent="0.35">
      <c r="A138">
        <v>130</v>
      </c>
      <c r="B138">
        <v>704.81098071699955</v>
      </c>
      <c r="C138">
        <v>130</v>
      </c>
      <c r="D138">
        <v>926.33247874164044</v>
      </c>
      <c r="E138">
        <v>130</v>
      </c>
      <c r="F138">
        <v>501.85584806748216</v>
      </c>
      <c r="G138">
        <v>130</v>
      </c>
      <c r="H138">
        <v>185.11037917399614</v>
      </c>
      <c r="I138">
        <v>130</v>
      </c>
      <c r="J138">
        <v>135.44649482079416</v>
      </c>
    </row>
    <row r="139" spans="1:10" x14ac:dyDescent="0.35">
      <c r="A139">
        <v>131</v>
      </c>
      <c r="B139">
        <v>673.80760918414933</v>
      </c>
      <c r="C139">
        <v>131</v>
      </c>
      <c r="D139">
        <v>828.43682525333236</v>
      </c>
      <c r="E139">
        <v>131</v>
      </c>
      <c r="F139">
        <v>77.847233130404646</v>
      </c>
      <c r="G139">
        <v>131</v>
      </c>
      <c r="H139">
        <v>535.91310927468294</v>
      </c>
      <c r="I139">
        <v>131</v>
      </c>
      <c r="J139">
        <v>-211.7511863979002</v>
      </c>
    </row>
    <row r="140" spans="1:10" x14ac:dyDescent="0.35">
      <c r="A140">
        <v>132</v>
      </c>
      <c r="B140">
        <v>938.17056066308737</v>
      </c>
      <c r="C140">
        <v>132</v>
      </c>
      <c r="D140">
        <v>620.18978287115704</v>
      </c>
      <c r="E140">
        <v>132</v>
      </c>
      <c r="F140">
        <v>-503.68055664181668</v>
      </c>
      <c r="G140">
        <v>132</v>
      </c>
      <c r="H140">
        <v>-176.41320175012703</v>
      </c>
      <c r="I140">
        <v>132</v>
      </c>
      <c r="J140">
        <v>-483.6477355925249</v>
      </c>
    </row>
    <row r="141" spans="1:10" x14ac:dyDescent="0.35">
      <c r="A141">
        <v>133</v>
      </c>
      <c r="B141">
        <v>541.22618785212796</v>
      </c>
      <c r="C141">
        <v>133</v>
      </c>
      <c r="D141">
        <v>554.42249642525178</v>
      </c>
      <c r="E141">
        <v>133</v>
      </c>
      <c r="F141">
        <v>294.45226758542856</v>
      </c>
      <c r="G141">
        <v>133</v>
      </c>
      <c r="H141">
        <v>986.05814218203432</v>
      </c>
      <c r="I141">
        <v>133</v>
      </c>
      <c r="J141">
        <v>-323.75992481428892</v>
      </c>
    </row>
    <row r="142" spans="1:10" x14ac:dyDescent="0.35">
      <c r="A142">
        <v>134</v>
      </c>
      <c r="B142">
        <v>431.35572937029178</v>
      </c>
      <c r="C142">
        <v>134</v>
      </c>
      <c r="D142">
        <v>343.57541016773558</v>
      </c>
      <c r="E142">
        <v>134</v>
      </c>
      <c r="F142">
        <v>-21.228964486916226</v>
      </c>
      <c r="G142">
        <v>134</v>
      </c>
      <c r="H142">
        <v>608.88788353134623</v>
      </c>
      <c r="I142">
        <v>134</v>
      </c>
      <c r="J142">
        <v>-35.961061958390587</v>
      </c>
    </row>
    <row r="143" spans="1:10" x14ac:dyDescent="0.35">
      <c r="A143">
        <v>135</v>
      </c>
      <c r="B143">
        <v>820.94794444675631</v>
      </c>
      <c r="C143">
        <v>135</v>
      </c>
      <c r="D143">
        <v>490.27465063882926</v>
      </c>
      <c r="E143">
        <v>135</v>
      </c>
      <c r="F143">
        <v>203.37722194596211</v>
      </c>
      <c r="G143">
        <v>135</v>
      </c>
      <c r="H143">
        <v>507.55483792678092</v>
      </c>
      <c r="I143">
        <v>135</v>
      </c>
      <c r="J143">
        <v>-142.80299744253648</v>
      </c>
    </row>
    <row r="144" spans="1:10" x14ac:dyDescent="0.35">
      <c r="A144">
        <v>136</v>
      </c>
      <c r="B144">
        <v>633.23224367909006</v>
      </c>
      <c r="C144">
        <v>136</v>
      </c>
      <c r="D144">
        <v>581.82602090689693</v>
      </c>
      <c r="E144">
        <v>136</v>
      </c>
      <c r="F144">
        <v>10.346151071564584</v>
      </c>
      <c r="G144">
        <v>136</v>
      </c>
      <c r="H144">
        <v>326.19660536241298</v>
      </c>
      <c r="I144">
        <v>136</v>
      </c>
      <c r="J144">
        <v>-738.12488007127058</v>
      </c>
    </row>
    <row r="145" spans="1:10" x14ac:dyDescent="0.35">
      <c r="A145">
        <v>137</v>
      </c>
      <c r="B145">
        <v>581.8713704841249</v>
      </c>
      <c r="C145">
        <v>137</v>
      </c>
      <c r="D145">
        <v>548.04004683238247</v>
      </c>
      <c r="E145">
        <v>137</v>
      </c>
      <c r="F145">
        <v>21.57577061355034</v>
      </c>
      <c r="G145">
        <v>137</v>
      </c>
      <c r="H145">
        <v>651.61384251709842</v>
      </c>
      <c r="I145">
        <v>137</v>
      </c>
      <c r="J145">
        <v>39.221739156188335</v>
      </c>
    </row>
    <row r="146" spans="1:10" x14ac:dyDescent="0.35">
      <c r="A146">
        <v>138</v>
      </c>
      <c r="B146">
        <v>691.91394707348081</v>
      </c>
      <c r="C146">
        <v>138</v>
      </c>
      <c r="D146">
        <v>713.49864788935474</v>
      </c>
      <c r="E146">
        <v>138</v>
      </c>
      <c r="F146">
        <v>176.95606462467913</v>
      </c>
      <c r="G146">
        <v>138</v>
      </c>
      <c r="H146">
        <v>120.33718032063996</v>
      </c>
      <c r="I146">
        <v>138</v>
      </c>
      <c r="J146">
        <v>-126.75334398999267</v>
      </c>
    </row>
    <row r="147" spans="1:10" x14ac:dyDescent="0.35">
      <c r="A147">
        <v>139</v>
      </c>
      <c r="B147">
        <v>461.87106652858597</v>
      </c>
      <c r="C147">
        <v>139</v>
      </c>
      <c r="D147">
        <v>658.47813197977109</v>
      </c>
      <c r="E147">
        <v>139</v>
      </c>
      <c r="F147">
        <v>97.020506653556623</v>
      </c>
      <c r="G147">
        <v>139</v>
      </c>
      <c r="H147">
        <v>546.06536083409651</v>
      </c>
      <c r="I147">
        <v>139</v>
      </c>
      <c r="J147">
        <v>-260.24400355274389</v>
      </c>
    </row>
    <row r="148" spans="1:10" x14ac:dyDescent="0.35">
      <c r="A148">
        <v>140</v>
      </c>
      <c r="B148">
        <v>394.21956096971564</v>
      </c>
      <c r="C148">
        <v>140</v>
      </c>
      <c r="D148">
        <v>697.85275932534728</v>
      </c>
      <c r="E148">
        <v>140</v>
      </c>
      <c r="F148">
        <v>526.63976275042785</v>
      </c>
      <c r="G148">
        <v>140</v>
      </c>
      <c r="H148">
        <v>401.23268401321667</v>
      </c>
      <c r="I148">
        <v>140</v>
      </c>
      <c r="J148">
        <v>-50.450532315007536</v>
      </c>
    </row>
    <row r="149" spans="1:10" x14ac:dyDescent="0.35">
      <c r="A149">
        <v>141</v>
      </c>
      <c r="B149">
        <v>838.64802140662255</v>
      </c>
      <c r="C149">
        <v>141</v>
      </c>
      <c r="D149">
        <v>661.65116903847377</v>
      </c>
      <c r="E149">
        <v>141</v>
      </c>
      <c r="F149">
        <v>264.89102320601665</v>
      </c>
      <c r="G149">
        <v>141</v>
      </c>
      <c r="H149">
        <v>-219.17309032999498</v>
      </c>
      <c r="I149">
        <v>141</v>
      </c>
      <c r="J149">
        <v>-384.18554195305268</v>
      </c>
    </row>
    <row r="150" spans="1:10" x14ac:dyDescent="0.35">
      <c r="A150">
        <v>142</v>
      </c>
      <c r="B150">
        <v>751.10817207694652</v>
      </c>
      <c r="C150">
        <v>142</v>
      </c>
      <c r="D150">
        <v>581.60866958517886</v>
      </c>
      <c r="E150">
        <v>142</v>
      </c>
      <c r="F150">
        <v>-61.78387894650578</v>
      </c>
      <c r="G150">
        <v>142</v>
      </c>
      <c r="H150">
        <v>581.32914955982301</v>
      </c>
      <c r="I150">
        <v>142</v>
      </c>
      <c r="J150">
        <v>-308.74428709918305</v>
      </c>
    </row>
    <row r="151" spans="1:10" x14ac:dyDescent="0.35">
      <c r="A151">
        <v>143</v>
      </c>
      <c r="B151">
        <v>74.46640415938225</v>
      </c>
      <c r="C151">
        <v>143</v>
      </c>
      <c r="D151">
        <v>627.90790021503631</v>
      </c>
      <c r="E151">
        <v>143</v>
      </c>
      <c r="F151">
        <v>-258.00111203536147</v>
      </c>
      <c r="G151">
        <v>143</v>
      </c>
      <c r="H151">
        <v>1082.1020269999144</v>
      </c>
      <c r="I151">
        <v>143</v>
      </c>
      <c r="J151">
        <v>47.636682111267817</v>
      </c>
    </row>
    <row r="152" spans="1:10" x14ac:dyDescent="0.35">
      <c r="A152">
        <v>144</v>
      </c>
      <c r="B152">
        <v>414.86628211112554</v>
      </c>
      <c r="C152">
        <v>144</v>
      </c>
      <c r="D152">
        <v>786.41541713025538</v>
      </c>
      <c r="E152">
        <v>144</v>
      </c>
      <c r="F152">
        <v>20.229046955071958</v>
      </c>
      <c r="G152">
        <v>144</v>
      </c>
      <c r="H152">
        <v>-400.13625677194437</v>
      </c>
      <c r="I152">
        <v>144</v>
      </c>
      <c r="J152">
        <v>-226.05391241083001</v>
      </c>
    </row>
    <row r="153" spans="1:10" x14ac:dyDescent="0.35">
      <c r="A153">
        <v>145</v>
      </c>
      <c r="B153">
        <v>910.46116594742739</v>
      </c>
      <c r="C153">
        <v>145</v>
      </c>
      <c r="D153">
        <v>681.10686228100053</v>
      </c>
      <c r="E153">
        <v>145</v>
      </c>
      <c r="F153">
        <v>-95.019527410382437</v>
      </c>
      <c r="G153">
        <v>145</v>
      </c>
      <c r="H153">
        <v>-1.3524566887123228</v>
      </c>
      <c r="I153">
        <v>145</v>
      </c>
      <c r="J153">
        <v>-368.47222976230569</v>
      </c>
    </row>
    <row r="154" spans="1:10" x14ac:dyDescent="0.35">
      <c r="A154">
        <v>146</v>
      </c>
      <c r="B154">
        <v>645.52145481570983</v>
      </c>
      <c r="C154">
        <v>146</v>
      </c>
      <c r="D154">
        <v>505.89607504215462</v>
      </c>
      <c r="E154">
        <v>146</v>
      </c>
      <c r="F154">
        <v>115.21590231300485</v>
      </c>
      <c r="G154">
        <v>146</v>
      </c>
      <c r="H154">
        <v>84.208226804885271</v>
      </c>
      <c r="I154">
        <v>146</v>
      </c>
      <c r="J154">
        <v>-348.99129352902094</v>
      </c>
    </row>
    <row r="155" spans="1:10" x14ac:dyDescent="0.35">
      <c r="A155">
        <v>147</v>
      </c>
      <c r="B155">
        <v>658.43973223974274</v>
      </c>
      <c r="C155">
        <v>147</v>
      </c>
      <c r="D155">
        <v>378.73485993426789</v>
      </c>
      <c r="E155">
        <v>147</v>
      </c>
      <c r="F155">
        <v>43.897385194755188</v>
      </c>
      <c r="G155">
        <v>147</v>
      </c>
      <c r="H155">
        <v>853.09553859812968</v>
      </c>
      <c r="I155">
        <v>147</v>
      </c>
      <c r="J155">
        <v>263.27560542198046</v>
      </c>
    </row>
    <row r="156" spans="1:10" x14ac:dyDescent="0.35">
      <c r="A156">
        <v>148</v>
      </c>
      <c r="B156">
        <v>943.14813823945781</v>
      </c>
      <c r="C156">
        <v>148</v>
      </c>
      <c r="D156">
        <v>227.23817713327446</v>
      </c>
      <c r="E156">
        <v>148</v>
      </c>
      <c r="F156">
        <v>714.30304915021361</v>
      </c>
      <c r="G156">
        <v>148</v>
      </c>
      <c r="H156">
        <v>-274.69662901512407</v>
      </c>
      <c r="I156">
        <v>148</v>
      </c>
      <c r="J156">
        <v>-324.83210583722297</v>
      </c>
    </row>
    <row r="157" spans="1:10" x14ac:dyDescent="0.35">
      <c r="A157">
        <v>149</v>
      </c>
      <c r="B157">
        <v>524.04532313250274</v>
      </c>
      <c r="C157">
        <v>149</v>
      </c>
      <c r="D157">
        <v>763.44670222214233</v>
      </c>
      <c r="E157">
        <v>149</v>
      </c>
      <c r="F157">
        <v>408.24366210115932</v>
      </c>
      <c r="G157">
        <v>149</v>
      </c>
      <c r="H157">
        <v>591.70670451868978</v>
      </c>
      <c r="I157">
        <v>149</v>
      </c>
      <c r="J157">
        <v>-577.76056431735253</v>
      </c>
    </row>
    <row r="158" spans="1:10" x14ac:dyDescent="0.35">
      <c r="A158">
        <v>150</v>
      </c>
      <c r="B158">
        <v>890.11533849135765</v>
      </c>
      <c r="C158">
        <v>150</v>
      </c>
      <c r="D158">
        <v>448.58310359926338</v>
      </c>
      <c r="E158">
        <v>150</v>
      </c>
      <c r="F158">
        <v>134.18697138117869</v>
      </c>
      <c r="G158">
        <v>150</v>
      </c>
      <c r="H158">
        <v>483.80328800337543</v>
      </c>
      <c r="I158">
        <v>150</v>
      </c>
      <c r="J158">
        <v>-3.0300823450250221</v>
      </c>
    </row>
    <row r="159" spans="1:10" x14ac:dyDescent="0.35">
      <c r="A159">
        <v>151</v>
      </c>
      <c r="B159">
        <v>747.98055293207915</v>
      </c>
      <c r="C159">
        <v>151</v>
      </c>
      <c r="D159">
        <v>389.42336280712891</v>
      </c>
      <c r="E159">
        <v>151</v>
      </c>
      <c r="F159">
        <v>579.36842772811065</v>
      </c>
      <c r="G159">
        <v>151</v>
      </c>
      <c r="H159">
        <v>581.07100791931452</v>
      </c>
      <c r="I159">
        <v>151</v>
      </c>
      <c r="J159">
        <v>364.88531982296297</v>
      </c>
    </row>
    <row r="160" spans="1:10" x14ac:dyDescent="0.35">
      <c r="A160">
        <v>152</v>
      </c>
      <c r="B160">
        <v>553.63706868761028</v>
      </c>
      <c r="C160">
        <v>152</v>
      </c>
      <c r="D160">
        <v>456.5045598730494</v>
      </c>
      <c r="E160">
        <v>152</v>
      </c>
      <c r="F160">
        <v>168.58812454642003</v>
      </c>
      <c r="G160">
        <v>152</v>
      </c>
      <c r="H160">
        <v>418.36818587869624</v>
      </c>
      <c r="I160">
        <v>152</v>
      </c>
      <c r="J160">
        <v>-32.939556140305484</v>
      </c>
    </row>
    <row r="161" spans="1:10" x14ac:dyDescent="0.35">
      <c r="A161">
        <v>153</v>
      </c>
      <c r="B161">
        <v>501.92622982061005</v>
      </c>
      <c r="C161">
        <v>153</v>
      </c>
      <c r="D161">
        <v>669.48915892414902</v>
      </c>
      <c r="E161">
        <v>153</v>
      </c>
      <c r="F161">
        <v>91.736103995142969</v>
      </c>
      <c r="G161">
        <v>153</v>
      </c>
      <c r="H161">
        <v>-307.00094869893343</v>
      </c>
      <c r="I161">
        <v>153</v>
      </c>
      <c r="J161">
        <v>181.94137080352453</v>
      </c>
    </row>
    <row r="162" spans="1:10" x14ac:dyDescent="0.35">
      <c r="A162">
        <v>154</v>
      </c>
      <c r="B162">
        <v>385.05433068330535</v>
      </c>
      <c r="C162">
        <v>154</v>
      </c>
      <c r="D162">
        <v>650.37137723597584</v>
      </c>
      <c r="E162">
        <v>154</v>
      </c>
      <c r="F162">
        <v>95.421080381058516</v>
      </c>
      <c r="G162">
        <v>154</v>
      </c>
      <c r="H162">
        <v>1046.4224786148393</v>
      </c>
      <c r="I162">
        <v>154</v>
      </c>
      <c r="J162">
        <v>48.291984561699962</v>
      </c>
    </row>
    <row r="163" spans="1:10" x14ac:dyDescent="0.35">
      <c r="A163">
        <v>155</v>
      </c>
      <c r="B163">
        <v>773.66854857901899</v>
      </c>
      <c r="C163">
        <v>155</v>
      </c>
      <c r="D163">
        <v>911.31099019356498</v>
      </c>
      <c r="E163">
        <v>155</v>
      </c>
      <c r="F163">
        <v>-63.32910636563787</v>
      </c>
      <c r="G163">
        <v>155</v>
      </c>
      <c r="H163">
        <v>676.44859935367856</v>
      </c>
      <c r="I163">
        <v>155</v>
      </c>
      <c r="J163">
        <v>162.7571309568105</v>
      </c>
    </row>
    <row r="164" spans="1:10" x14ac:dyDescent="0.35">
      <c r="A164">
        <v>156</v>
      </c>
      <c r="B164">
        <v>388.5278586011691</v>
      </c>
      <c r="C164">
        <v>156</v>
      </c>
      <c r="D164">
        <v>705.60389586464646</v>
      </c>
      <c r="E164">
        <v>156</v>
      </c>
      <c r="F164">
        <v>-80.598514423606844</v>
      </c>
      <c r="G164">
        <v>156</v>
      </c>
      <c r="H164">
        <v>438.91493045075481</v>
      </c>
      <c r="I164">
        <v>156</v>
      </c>
      <c r="J164">
        <v>-716.13353273027565</v>
      </c>
    </row>
    <row r="165" spans="1:10" x14ac:dyDescent="0.35">
      <c r="A165">
        <v>157</v>
      </c>
      <c r="B165">
        <v>647.69693893279111</v>
      </c>
      <c r="C165">
        <v>157</v>
      </c>
      <c r="D165">
        <v>627.86936770034481</v>
      </c>
      <c r="E165">
        <v>157</v>
      </c>
      <c r="F165">
        <v>-72.725240409792832</v>
      </c>
      <c r="G165">
        <v>157</v>
      </c>
      <c r="H165">
        <v>203.69863371813096</v>
      </c>
      <c r="I165">
        <v>157</v>
      </c>
      <c r="J165">
        <v>-341.59494178068923</v>
      </c>
    </row>
    <row r="166" spans="1:10" x14ac:dyDescent="0.35">
      <c r="A166">
        <v>158</v>
      </c>
      <c r="B166">
        <v>596.28516869200678</v>
      </c>
      <c r="C166">
        <v>158</v>
      </c>
      <c r="D166">
        <v>396.70473266348699</v>
      </c>
      <c r="E166">
        <v>158</v>
      </c>
      <c r="F166">
        <v>47.830242036748004</v>
      </c>
      <c r="G166">
        <v>158</v>
      </c>
      <c r="H166">
        <v>739.87066135261966</v>
      </c>
      <c r="I166">
        <v>158</v>
      </c>
      <c r="J166">
        <v>-73.351321233495355</v>
      </c>
    </row>
    <row r="167" spans="1:10" x14ac:dyDescent="0.35">
      <c r="A167">
        <v>159</v>
      </c>
      <c r="B167">
        <v>607.68642973247574</v>
      </c>
      <c r="C167">
        <v>159</v>
      </c>
      <c r="D167">
        <v>597.95506007784434</v>
      </c>
      <c r="E167">
        <v>159</v>
      </c>
      <c r="F167">
        <v>145.80452272803959</v>
      </c>
      <c r="G167">
        <v>159</v>
      </c>
      <c r="H167">
        <v>266.3603220340616</v>
      </c>
      <c r="I167">
        <v>159</v>
      </c>
      <c r="J167">
        <v>-683.09132845218664</v>
      </c>
    </row>
    <row r="168" spans="1:10" x14ac:dyDescent="0.35">
      <c r="A168">
        <v>160</v>
      </c>
      <c r="B168">
        <v>451.46700604786997</v>
      </c>
      <c r="C168">
        <v>160</v>
      </c>
      <c r="D168">
        <v>1029.9851252209414</v>
      </c>
      <c r="E168">
        <v>160</v>
      </c>
      <c r="F168">
        <v>-18.85503097238157</v>
      </c>
      <c r="G168">
        <v>160</v>
      </c>
      <c r="H168">
        <v>17.997549763034556</v>
      </c>
      <c r="I168">
        <v>160</v>
      </c>
      <c r="J168">
        <v>-409.68499023303832</v>
      </c>
    </row>
    <row r="169" spans="1:10" x14ac:dyDescent="0.35">
      <c r="A169">
        <v>161</v>
      </c>
      <c r="B169">
        <v>831.25677300938969</v>
      </c>
      <c r="C169">
        <v>161</v>
      </c>
      <c r="D169">
        <v>628.50979189350289</v>
      </c>
      <c r="E169">
        <v>161</v>
      </c>
      <c r="F169">
        <v>-23.667459218224678</v>
      </c>
      <c r="G169">
        <v>161</v>
      </c>
      <c r="H169">
        <v>71.857432888564517</v>
      </c>
      <c r="I169">
        <v>161</v>
      </c>
      <c r="J169">
        <v>-104.4475565272875</v>
      </c>
    </row>
    <row r="170" spans="1:10" x14ac:dyDescent="0.35">
      <c r="A170">
        <v>162</v>
      </c>
      <c r="B170">
        <v>577.11666958946398</v>
      </c>
      <c r="C170">
        <v>162</v>
      </c>
      <c r="D170">
        <v>612.53765504078046</v>
      </c>
      <c r="E170">
        <v>162</v>
      </c>
      <c r="F170">
        <v>-200.99334785386566</v>
      </c>
      <c r="G170">
        <v>162</v>
      </c>
      <c r="H170">
        <v>627.18552947831438</v>
      </c>
      <c r="I170">
        <v>162</v>
      </c>
      <c r="J170">
        <v>-376.38084865801176</v>
      </c>
    </row>
    <row r="171" spans="1:10" x14ac:dyDescent="0.35">
      <c r="A171">
        <v>163</v>
      </c>
      <c r="B171">
        <v>311.69055955258364</v>
      </c>
      <c r="C171">
        <v>163</v>
      </c>
      <c r="D171">
        <v>440.69180499024623</v>
      </c>
      <c r="E171">
        <v>163</v>
      </c>
      <c r="F171">
        <v>-182.93760931262511</v>
      </c>
      <c r="G171">
        <v>163</v>
      </c>
      <c r="H171">
        <v>741.16472881330742</v>
      </c>
      <c r="I171">
        <v>163</v>
      </c>
      <c r="J171">
        <v>7.2410687000969745</v>
      </c>
    </row>
    <row r="172" spans="1:10" x14ac:dyDescent="0.35">
      <c r="A172">
        <v>164</v>
      </c>
      <c r="B172">
        <v>768.93534218779041</v>
      </c>
      <c r="C172">
        <v>164</v>
      </c>
      <c r="D172">
        <v>492.85454251311575</v>
      </c>
      <c r="E172">
        <v>164</v>
      </c>
      <c r="F172">
        <v>65.349713200050786</v>
      </c>
      <c r="G172">
        <v>164</v>
      </c>
      <c r="H172">
        <v>654.89286136534429</v>
      </c>
      <c r="I172">
        <v>164</v>
      </c>
      <c r="J172">
        <v>253.28457381062032</v>
      </c>
    </row>
    <row r="173" spans="1:10" x14ac:dyDescent="0.35">
      <c r="A173">
        <v>165</v>
      </c>
      <c r="B173">
        <v>429.54079544452878</v>
      </c>
      <c r="C173">
        <v>165</v>
      </c>
      <c r="D173">
        <v>828.09430008282686</v>
      </c>
      <c r="E173">
        <v>165</v>
      </c>
      <c r="F173">
        <v>-179.82295707056866</v>
      </c>
      <c r="G173">
        <v>165</v>
      </c>
      <c r="H173">
        <v>606.86646048571049</v>
      </c>
      <c r="I173">
        <v>165</v>
      </c>
      <c r="J173">
        <v>-163.25986341704385</v>
      </c>
    </row>
    <row r="174" spans="1:10" x14ac:dyDescent="0.35">
      <c r="A174">
        <v>166</v>
      </c>
      <c r="B174">
        <v>1120.5741424173327</v>
      </c>
      <c r="C174">
        <v>166</v>
      </c>
      <c r="D174">
        <v>787.05268725811516</v>
      </c>
      <c r="E174">
        <v>166</v>
      </c>
      <c r="F174">
        <v>81.915034592736447</v>
      </c>
      <c r="G174">
        <v>166</v>
      </c>
      <c r="H174">
        <v>796.52084222137205</v>
      </c>
      <c r="I174">
        <v>166</v>
      </c>
      <c r="J174">
        <v>-40.000188978314895</v>
      </c>
    </row>
    <row r="175" spans="1:10" x14ac:dyDescent="0.35">
      <c r="A175">
        <v>167</v>
      </c>
      <c r="B175">
        <v>983.34967186078791</v>
      </c>
      <c r="C175">
        <v>167</v>
      </c>
      <c r="D175">
        <v>564.6854932716094</v>
      </c>
      <c r="E175">
        <v>167</v>
      </c>
      <c r="F175">
        <v>319.91140933355268</v>
      </c>
      <c r="G175">
        <v>167</v>
      </c>
      <c r="H175">
        <v>513.72066850766498</v>
      </c>
      <c r="I175">
        <v>167</v>
      </c>
      <c r="J175">
        <v>-28.16966991358936</v>
      </c>
    </row>
    <row r="176" spans="1:10" x14ac:dyDescent="0.35">
      <c r="A176">
        <v>168</v>
      </c>
      <c r="B176">
        <v>598.40886813191275</v>
      </c>
      <c r="C176">
        <v>168</v>
      </c>
      <c r="D176">
        <v>824.70345922618208</v>
      </c>
      <c r="E176">
        <v>168</v>
      </c>
      <c r="F176">
        <v>69.399044307443873</v>
      </c>
      <c r="G176">
        <v>168</v>
      </c>
      <c r="H176">
        <v>627.96603832167773</v>
      </c>
      <c r="I176">
        <v>168</v>
      </c>
      <c r="J176">
        <v>-640.9665001559199</v>
      </c>
    </row>
    <row r="177" spans="1:10" x14ac:dyDescent="0.35">
      <c r="A177">
        <v>169</v>
      </c>
      <c r="B177">
        <v>504.40952480196364</v>
      </c>
      <c r="C177">
        <v>169</v>
      </c>
      <c r="D177">
        <v>475.10652895530336</v>
      </c>
      <c r="E177">
        <v>169</v>
      </c>
      <c r="F177">
        <v>85.465425035532178</v>
      </c>
      <c r="G177">
        <v>169</v>
      </c>
      <c r="H177">
        <v>926.03155141176853</v>
      </c>
      <c r="I177">
        <v>169</v>
      </c>
      <c r="J177">
        <v>317.90734405571413</v>
      </c>
    </row>
    <row r="178" spans="1:10" x14ac:dyDescent="0.35">
      <c r="A178">
        <v>170</v>
      </c>
      <c r="B178">
        <v>592.37129588935909</v>
      </c>
      <c r="C178">
        <v>170</v>
      </c>
      <c r="D178">
        <v>637.33263085960743</v>
      </c>
      <c r="E178">
        <v>170</v>
      </c>
      <c r="F178">
        <v>-73.660541241083365</v>
      </c>
      <c r="G178">
        <v>170</v>
      </c>
      <c r="H178">
        <v>1010.0318588230755</v>
      </c>
      <c r="I178">
        <v>170</v>
      </c>
      <c r="J178">
        <v>214.48195612771372</v>
      </c>
    </row>
    <row r="179" spans="1:10" x14ac:dyDescent="0.35">
      <c r="A179">
        <v>171</v>
      </c>
      <c r="B179">
        <v>416.91609008297371</v>
      </c>
      <c r="C179">
        <v>171</v>
      </c>
      <c r="D179">
        <v>375.19505421160062</v>
      </c>
      <c r="E179">
        <v>171</v>
      </c>
      <c r="F179">
        <v>-105.212328710885</v>
      </c>
      <c r="G179">
        <v>171</v>
      </c>
      <c r="H179">
        <v>927.72033399585484</v>
      </c>
      <c r="I179">
        <v>171</v>
      </c>
      <c r="J179">
        <v>-28.250813556051156</v>
      </c>
    </row>
    <row r="180" spans="1:10" x14ac:dyDescent="0.35">
      <c r="A180">
        <v>172</v>
      </c>
      <c r="B180">
        <v>737.49237090541885</v>
      </c>
      <c r="C180">
        <v>172</v>
      </c>
      <c r="D180">
        <v>916.21040263751229</v>
      </c>
      <c r="E180">
        <v>172</v>
      </c>
      <c r="F180">
        <v>215.86926521019291</v>
      </c>
      <c r="G180">
        <v>172</v>
      </c>
      <c r="H180">
        <v>197.38778205949893</v>
      </c>
      <c r="I180">
        <v>172</v>
      </c>
      <c r="J180">
        <v>-548.00038365282592</v>
      </c>
    </row>
    <row r="181" spans="1:10" x14ac:dyDescent="0.35">
      <c r="A181">
        <v>173</v>
      </c>
      <c r="B181">
        <v>736.97547818876478</v>
      </c>
      <c r="C181">
        <v>173</v>
      </c>
      <c r="D181">
        <v>305.36037506013162</v>
      </c>
      <c r="E181">
        <v>173</v>
      </c>
      <c r="F181">
        <v>142.84521675742451</v>
      </c>
      <c r="G181">
        <v>173</v>
      </c>
      <c r="H181">
        <v>413.22237540789661</v>
      </c>
      <c r="I181">
        <v>173</v>
      </c>
      <c r="J181">
        <v>-706.7062910912282</v>
      </c>
    </row>
    <row r="182" spans="1:10" x14ac:dyDescent="0.35">
      <c r="A182">
        <v>174</v>
      </c>
      <c r="B182">
        <v>908.2663887669936</v>
      </c>
      <c r="C182">
        <v>174</v>
      </c>
      <c r="D182">
        <v>612.84169119655201</v>
      </c>
      <c r="E182">
        <v>174</v>
      </c>
      <c r="F182">
        <v>-222.92475177162186</v>
      </c>
      <c r="G182">
        <v>174</v>
      </c>
      <c r="H182">
        <v>667.92259045581193</v>
      </c>
      <c r="I182">
        <v>174</v>
      </c>
      <c r="J182">
        <v>752.97868957268054</v>
      </c>
    </row>
    <row r="183" spans="1:10" x14ac:dyDescent="0.35">
      <c r="A183">
        <v>175</v>
      </c>
      <c r="B183">
        <v>338.47245284508125</v>
      </c>
      <c r="C183">
        <v>175</v>
      </c>
      <c r="D183">
        <v>599.26051075309942</v>
      </c>
      <c r="E183">
        <v>175</v>
      </c>
      <c r="F183">
        <v>251.01663239766879</v>
      </c>
      <c r="G183">
        <v>175</v>
      </c>
      <c r="H183">
        <v>161.57676496211997</v>
      </c>
      <c r="I183">
        <v>175</v>
      </c>
      <c r="J183">
        <v>-386.80457832116292</v>
      </c>
    </row>
    <row r="184" spans="1:10" x14ac:dyDescent="0.35">
      <c r="A184">
        <v>176</v>
      </c>
      <c r="B184">
        <v>394.29524217607531</v>
      </c>
      <c r="C184">
        <v>176</v>
      </c>
      <c r="D184">
        <v>746.60230666168661</v>
      </c>
      <c r="E184">
        <v>176</v>
      </c>
      <c r="F184">
        <v>-21.041210120144967</v>
      </c>
      <c r="G184">
        <v>176</v>
      </c>
      <c r="H184">
        <v>616.74819107665485</v>
      </c>
      <c r="I184">
        <v>176</v>
      </c>
      <c r="J184">
        <v>14.148155896732476</v>
      </c>
    </row>
    <row r="185" spans="1:10" x14ac:dyDescent="0.35">
      <c r="A185">
        <v>177</v>
      </c>
      <c r="B185">
        <v>358.87157410455274</v>
      </c>
      <c r="C185">
        <v>177</v>
      </c>
      <c r="D185">
        <v>629.90848428396782</v>
      </c>
      <c r="E185">
        <v>177</v>
      </c>
      <c r="F185">
        <v>547.70617290440282</v>
      </c>
      <c r="G185">
        <v>177</v>
      </c>
      <c r="H185">
        <v>505.30712416072458</v>
      </c>
      <c r="I185">
        <v>177</v>
      </c>
      <c r="J185">
        <v>3.5073188242518256</v>
      </c>
    </row>
    <row r="186" spans="1:10" x14ac:dyDescent="0.35">
      <c r="A186">
        <v>178</v>
      </c>
      <c r="B186">
        <v>549.58329689319567</v>
      </c>
      <c r="C186">
        <v>178</v>
      </c>
      <c r="D186">
        <v>665.7177653193886</v>
      </c>
      <c r="E186">
        <v>178</v>
      </c>
      <c r="F186">
        <v>-109.40811535180501</v>
      </c>
      <c r="G186">
        <v>178</v>
      </c>
      <c r="H186">
        <v>495.34007425050748</v>
      </c>
      <c r="I186">
        <v>178</v>
      </c>
      <c r="J186">
        <v>-33.488644224633617</v>
      </c>
    </row>
    <row r="187" spans="1:10" x14ac:dyDescent="0.35">
      <c r="A187">
        <v>179</v>
      </c>
      <c r="B187">
        <v>710.28676572645895</v>
      </c>
      <c r="C187">
        <v>179</v>
      </c>
      <c r="D187">
        <v>1084.8747823624394</v>
      </c>
      <c r="E187">
        <v>179</v>
      </c>
      <c r="F187">
        <v>87.234353566962312</v>
      </c>
      <c r="G187">
        <v>179</v>
      </c>
      <c r="H187">
        <v>501.74856530457294</v>
      </c>
      <c r="I187">
        <v>179</v>
      </c>
      <c r="J187">
        <v>-88.867055805104727</v>
      </c>
    </row>
    <row r="188" spans="1:10" x14ac:dyDescent="0.35">
      <c r="A188">
        <v>180</v>
      </c>
      <c r="B188">
        <v>410.44183039092991</v>
      </c>
      <c r="C188">
        <v>180</v>
      </c>
      <c r="D188">
        <v>599.62107491623249</v>
      </c>
      <c r="E188">
        <v>180</v>
      </c>
      <c r="F188">
        <v>260.42304926778309</v>
      </c>
      <c r="G188">
        <v>180</v>
      </c>
      <c r="H188">
        <v>1631.2803307636902</v>
      </c>
      <c r="I188">
        <v>180</v>
      </c>
      <c r="J188">
        <v>-65.210535093269442</v>
      </c>
    </row>
    <row r="189" spans="1:10" x14ac:dyDescent="0.35">
      <c r="A189">
        <v>181</v>
      </c>
      <c r="B189">
        <v>832.21476948294458</v>
      </c>
      <c r="C189">
        <v>181</v>
      </c>
      <c r="D189">
        <v>354.95757649379078</v>
      </c>
      <c r="E189">
        <v>181</v>
      </c>
      <c r="F189">
        <v>-65.400767732879984</v>
      </c>
      <c r="G189">
        <v>181</v>
      </c>
      <c r="H189">
        <v>273.74419718798254</v>
      </c>
      <c r="I189">
        <v>181</v>
      </c>
      <c r="J189">
        <v>455.18438769952786</v>
      </c>
    </row>
    <row r="190" spans="1:10" x14ac:dyDescent="0.35">
      <c r="A190">
        <v>182</v>
      </c>
      <c r="B190">
        <v>591.48073575878925</v>
      </c>
      <c r="C190">
        <v>182</v>
      </c>
      <c r="D190">
        <v>645.08677216691194</v>
      </c>
      <c r="E190">
        <v>182</v>
      </c>
      <c r="F190">
        <v>-179.27907902784335</v>
      </c>
      <c r="G190">
        <v>182</v>
      </c>
      <c r="H190">
        <v>1176.9499214489704</v>
      </c>
      <c r="I190">
        <v>182</v>
      </c>
      <c r="J190">
        <v>-59.860134486095916</v>
      </c>
    </row>
    <row r="191" spans="1:10" x14ac:dyDescent="0.35">
      <c r="A191">
        <v>183</v>
      </c>
      <c r="B191">
        <v>509.50056682049996</v>
      </c>
      <c r="C191">
        <v>183</v>
      </c>
      <c r="D191">
        <v>630.28595912843639</v>
      </c>
      <c r="E191">
        <v>183</v>
      </c>
      <c r="F191">
        <v>-352.72098407368395</v>
      </c>
      <c r="G191">
        <v>183</v>
      </c>
      <c r="H191">
        <v>229.50761525756874</v>
      </c>
      <c r="I191">
        <v>183</v>
      </c>
      <c r="J191">
        <v>-51.733342626341482</v>
      </c>
    </row>
    <row r="192" spans="1:10" x14ac:dyDescent="0.35">
      <c r="A192">
        <v>184</v>
      </c>
      <c r="B192">
        <v>979.98391291206781</v>
      </c>
      <c r="C192">
        <v>184</v>
      </c>
      <c r="D192">
        <v>632.83430922874959</v>
      </c>
      <c r="E192">
        <v>184</v>
      </c>
      <c r="F192">
        <v>131.63878944466379</v>
      </c>
      <c r="G192">
        <v>184</v>
      </c>
      <c r="H192">
        <v>659.95023217512585</v>
      </c>
      <c r="I192">
        <v>184</v>
      </c>
      <c r="J192">
        <v>290.21128521650087</v>
      </c>
    </row>
    <row r="193" spans="1:10" x14ac:dyDescent="0.35">
      <c r="A193">
        <v>185</v>
      </c>
      <c r="B193">
        <v>655.49852214850057</v>
      </c>
      <c r="C193">
        <v>185</v>
      </c>
      <c r="D193">
        <v>661.50606015545657</v>
      </c>
      <c r="E193">
        <v>185</v>
      </c>
      <c r="F193">
        <v>-107.774846046113</v>
      </c>
      <c r="G193">
        <v>185</v>
      </c>
      <c r="H193">
        <v>580.63994375575351</v>
      </c>
      <c r="I193">
        <v>185</v>
      </c>
      <c r="J193">
        <v>-401.97368459070458</v>
      </c>
    </row>
    <row r="194" spans="1:10" x14ac:dyDescent="0.35">
      <c r="A194">
        <v>186</v>
      </c>
      <c r="B194">
        <v>610.3160700854412</v>
      </c>
      <c r="C194">
        <v>186</v>
      </c>
      <c r="D194">
        <v>1043.8803566540855</v>
      </c>
      <c r="E194">
        <v>186</v>
      </c>
      <c r="F194">
        <v>61.644503680951019</v>
      </c>
      <c r="G194">
        <v>186</v>
      </c>
      <c r="H194">
        <v>424.12046428671152</v>
      </c>
      <c r="I194">
        <v>186</v>
      </c>
      <c r="J194">
        <v>-388.94552514008092</v>
      </c>
    </row>
    <row r="195" spans="1:10" x14ac:dyDescent="0.35">
      <c r="A195">
        <v>187</v>
      </c>
      <c r="B195">
        <v>702.88719812575073</v>
      </c>
      <c r="C195">
        <v>187</v>
      </c>
      <c r="D195">
        <v>680.79880828715602</v>
      </c>
      <c r="E195">
        <v>187</v>
      </c>
      <c r="F195">
        <v>296.35287257016461</v>
      </c>
      <c r="G195">
        <v>187</v>
      </c>
      <c r="H195">
        <v>239.44989668121895</v>
      </c>
      <c r="I195">
        <v>187</v>
      </c>
      <c r="J195">
        <v>-692.91372501010937</v>
      </c>
    </row>
    <row r="196" spans="1:10" x14ac:dyDescent="0.35">
      <c r="A196">
        <v>188</v>
      </c>
      <c r="B196">
        <v>417.6207036898702</v>
      </c>
      <c r="C196">
        <v>188</v>
      </c>
      <c r="D196">
        <v>699.24365506991376</v>
      </c>
      <c r="E196">
        <v>188</v>
      </c>
      <c r="F196">
        <v>175.66052065411429</v>
      </c>
      <c r="G196">
        <v>188</v>
      </c>
      <c r="H196">
        <v>422.7196451546057</v>
      </c>
      <c r="I196">
        <v>188</v>
      </c>
      <c r="J196">
        <v>-560.92029661703259</v>
      </c>
    </row>
    <row r="197" spans="1:10" x14ac:dyDescent="0.35">
      <c r="A197">
        <v>189</v>
      </c>
      <c r="B197">
        <v>588.89172856130881</v>
      </c>
      <c r="C197">
        <v>189</v>
      </c>
      <c r="D197">
        <v>625.89082768472929</v>
      </c>
      <c r="E197">
        <v>189</v>
      </c>
      <c r="F197">
        <v>172.33041138605623</v>
      </c>
      <c r="G197">
        <v>189</v>
      </c>
      <c r="H197">
        <v>373.352860651463</v>
      </c>
      <c r="I197">
        <v>189</v>
      </c>
      <c r="J197">
        <v>-324.41994449140873</v>
      </c>
    </row>
    <row r="198" spans="1:10" x14ac:dyDescent="0.35">
      <c r="A198">
        <v>190</v>
      </c>
      <c r="B198">
        <v>777.41314060829234</v>
      </c>
      <c r="C198">
        <v>190</v>
      </c>
      <c r="D198">
        <v>228.99825968298637</v>
      </c>
      <c r="E198">
        <v>190</v>
      </c>
      <c r="F198">
        <v>154.98847364416076</v>
      </c>
      <c r="G198">
        <v>190</v>
      </c>
      <c r="H198">
        <v>-380.05759918719701</v>
      </c>
      <c r="I198">
        <v>190</v>
      </c>
      <c r="J198">
        <v>273.22329673693412</v>
      </c>
    </row>
    <row r="199" spans="1:10" x14ac:dyDescent="0.35">
      <c r="A199">
        <v>191</v>
      </c>
      <c r="B199">
        <v>423.32889405647029</v>
      </c>
      <c r="C199">
        <v>191</v>
      </c>
      <c r="D199">
        <v>554.93774849234353</v>
      </c>
      <c r="E199">
        <v>191</v>
      </c>
      <c r="F199">
        <v>-109.15709390337932</v>
      </c>
      <c r="G199">
        <v>191</v>
      </c>
      <c r="H199">
        <v>158.31638505675494</v>
      </c>
      <c r="I199">
        <v>191</v>
      </c>
      <c r="J199">
        <v>57.322679245337213</v>
      </c>
    </row>
    <row r="200" spans="1:10" x14ac:dyDescent="0.35">
      <c r="A200">
        <v>192</v>
      </c>
      <c r="B200">
        <v>511.59469943504587</v>
      </c>
      <c r="C200">
        <v>192</v>
      </c>
      <c r="D200">
        <v>684.70218233192054</v>
      </c>
      <c r="E200">
        <v>192</v>
      </c>
      <c r="F200">
        <v>-190.56437574996619</v>
      </c>
      <c r="G200">
        <v>192</v>
      </c>
      <c r="H200">
        <v>402.96730483809358</v>
      </c>
      <c r="I200">
        <v>192</v>
      </c>
      <c r="J200">
        <v>52.506944803014562</v>
      </c>
    </row>
    <row r="201" spans="1:10" x14ac:dyDescent="0.35">
      <c r="A201">
        <v>193</v>
      </c>
      <c r="B201">
        <v>389.05886315411271</v>
      </c>
      <c r="C201">
        <v>193</v>
      </c>
      <c r="D201">
        <v>634.2790324198437</v>
      </c>
      <c r="E201">
        <v>193</v>
      </c>
      <c r="F201">
        <v>143.01575601032732</v>
      </c>
      <c r="G201">
        <v>193</v>
      </c>
      <c r="H201">
        <v>335.5543808013955</v>
      </c>
      <c r="I201">
        <v>193</v>
      </c>
      <c r="J201">
        <v>74.200528791473459</v>
      </c>
    </row>
    <row r="202" spans="1:10" x14ac:dyDescent="0.35">
      <c r="A202">
        <v>194</v>
      </c>
      <c r="B202">
        <v>647.52936845640738</v>
      </c>
      <c r="C202">
        <v>194</v>
      </c>
      <c r="D202">
        <v>454.92902852561798</v>
      </c>
      <c r="E202">
        <v>194</v>
      </c>
      <c r="F202">
        <v>242.5220339882936</v>
      </c>
      <c r="G202">
        <v>194</v>
      </c>
      <c r="H202">
        <v>178.61876094445103</v>
      </c>
      <c r="I202">
        <v>194</v>
      </c>
      <c r="J202">
        <v>-288.56557280113623</v>
      </c>
    </row>
    <row r="203" spans="1:10" x14ac:dyDescent="0.35">
      <c r="A203">
        <v>195</v>
      </c>
      <c r="B203">
        <v>590.47064057171519</v>
      </c>
      <c r="C203">
        <v>195</v>
      </c>
      <c r="D203">
        <v>462.79287606438902</v>
      </c>
      <c r="E203">
        <v>195</v>
      </c>
      <c r="F203">
        <v>98.985230391174355</v>
      </c>
      <c r="G203">
        <v>195</v>
      </c>
      <c r="H203">
        <v>922.49548534031135</v>
      </c>
      <c r="I203">
        <v>195</v>
      </c>
      <c r="J203">
        <v>-581.03807377977978</v>
      </c>
    </row>
    <row r="204" spans="1:10" x14ac:dyDescent="0.35">
      <c r="A204">
        <v>196</v>
      </c>
      <c r="B204">
        <v>448.62030388026631</v>
      </c>
      <c r="C204">
        <v>196</v>
      </c>
      <c r="D204">
        <v>716.24595669432824</v>
      </c>
      <c r="E204">
        <v>196</v>
      </c>
      <c r="F204">
        <v>214.0799049983884</v>
      </c>
      <c r="G204">
        <v>196</v>
      </c>
      <c r="H204">
        <v>818.44255326829898</v>
      </c>
      <c r="I204">
        <v>196</v>
      </c>
      <c r="J204">
        <v>-270.09521838377424</v>
      </c>
    </row>
    <row r="205" spans="1:10" x14ac:dyDescent="0.35">
      <c r="A205">
        <v>197</v>
      </c>
      <c r="B205">
        <v>566.09828030057884</v>
      </c>
      <c r="C205">
        <v>197</v>
      </c>
      <c r="D205">
        <v>403.14334116200632</v>
      </c>
      <c r="E205">
        <v>197</v>
      </c>
      <c r="F205">
        <v>104.78114873851493</v>
      </c>
      <c r="G205">
        <v>197</v>
      </c>
      <c r="H205">
        <v>250.18700615509599</v>
      </c>
      <c r="I205">
        <v>197</v>
      </c>
      <c r="J205">
        <v>-126.67227030116472</v>
      </c>
    </row>
    <row r="206" spans="1:10" x14ac:dyDescent="0.35">
      <c r="A206">
        <v>198</v>
      </c>
      <c r="B206">
        <v>344.09279450222903</v>
      </c>
      <c r="C206">
        <v>198</v>
      </c>
      <c r="D206">
        <v>272.98577632721879</v>
      </c>
      <c r="E206">
        <v>198</v>
      </c>
      <c r="F206">
        <v>481.94099435618057</v>
      </c>
      <c r="G206">
        <v>198</v>
      </c>
      <c r="H206">
        <v>197.99712576961281</v>
      </c>
      <c r="I206">
        <v>198</v>
      </c>
      <c r="J206">
        <v>-43.19439724722622</v>
      </c>
    </row>
    <row r="207" spans="1:10" x14ac:dyDescent="0.35">
      <c r="A207">
        <v>199</v>
      </c>
      <c r="B207">
        <v>773.76309403337848</v>
      </c>
      <c r="C207">
        <v>199</v>
      </c>
      <c r="D207">
        <v>485.0813163987213</v>
      </c>
      <c r="E207">
        <v>199</v>
      </c>
      <c r="F207">
        <v>-306.08738435108756</v>
      </c>
      <c r="G207">
        <v>199</v>
      </c>
      <c r="H207">
        <v>1145.5403092224981</v>
      </c>
      <c r="I207">
        <v>199</v>
      </c>
      <c r="J207">
        <v>-372.37307564831553</v>
      </c>
    </row>
    <row r="208" spans="1:10" x14ac:dyDescent="0.35">
      <c r="A208">
        <v>200</v>
      </c>
      <c r="B208">
        <v>520.51793063605078</v>
      </c>
      <c r="C208">
        <v>200</v>
      </c>
      <c r="D208">
        <v>401.28790735116576</v>
      </c>
      <c r="E208">
        <v>200</v>
      </c>
      <c r="F208">
        <v>449.33060995478371</v>
      </c>
      <c r="G208">
        <v>200</v>
      </c>
      <c r="H208">
        <v>199.30232655178821</v>
      </c>
      <c r="I208">
        <v>200</v>
      </c>
      <c r="J208">
        <v>354.58807349506708</v>
      </c>
    </row>
    <row r="209" spans="1:10" x14ac:dyDescent="0.35">
      <c r="A209">
        <v>201</v>
      </c>
      <c r="B209">
        <v>455.08064601417504</v>
      </c>
      <c r="C209">
        <v>201</v>
      </c>
      <c r="D209">
        <v>634.43701555459313</v>
      </c>
      <c r="E209">
        <v>201</v>
      </c>
      <c r="F209">
        <v>-266.45644156711717</v>
      </c>
      <c r="G209">
        <v>201</v>
      </c>
      <c r="H209">
        <v>769.65114989547453</v>
      </c>
      <c r="I209">
        <v>201</v>
      </c>
      <c r="J209">
        <v>-56.445633938243731</v>
      </c>
    </row>
    <row r="210" spans="1:10" x14ac:dyDescent="0.35">
      <c r="A210">
        <v>202</v>
      </c>
      <c r="B210">
        <v>1066.0138692214568</v>
      </c>
      <c r="C210">
        <v>202</v>
      </c>
      <c r="D210">
        <v>320.5366546852303</v>
      </c>
      <c r="E210">
        <v>202</v>
      </c>
      <c r="F210">
        <v>101.64787893331086</v>
      </c>
      <c r="G210">
        <v>202</v>
      </c>
      <c r="H210">
        <v>1433.7512733504188</v>
      </c>
      <c r="I210">
        <v>202</v>
      </c>
      <c r="J210">
        <v>-717.6721886666777</v>
      </c>
    </row>
    <row r="211" spans="1:10" x14ac:dyDescent="0.35">
      <c r="A211">
        <v>203</v>
      </c>
      <c r="B211">
        <v>634.79604182266178</v>
      </c>
      <c r="C211">
        <v>203</v>
      </c>
      <c r="D211">
        <v>604.87681188575596</v>
      </c>
      <c r="E211">
        <v>203</v>
      </c>
      <c r="F211">
        <v>-523.78929236879219</v>
      </c>
      <c r="G211">
        <v>203</v>
      </c>
      <c r="H211">
        <v>97.842133062801224</v>
      </c>
      <c r="I211">
        <v>203</v>
      </c>
      <c r="J211">
        <v>-188.28543281081778</v>
      </c>
    </row>
    <row r="212" spans="1:10" x14ac:dyDescent="0.35">
      <c r="A212">
        <v>204</v>
      </c>
      <c r="B212">
        <v>502.4355418675126</v>
      </c>
      <c r="C212">
        <v>204</v>
      </c>
      <c r="D212">
        <v>677.24566198821844</v>
      </c>
      <c r="E212">
        <v>204</v>
      </c>
      <c r="F212">
        <v>232.95312751980214</v>
      </c>
      <c r="G212">
        <v>204</v>
      </c>
      <c r="H212">
        <v>441.66651326767447</v>
      </c>
      <c r="I212">
        <v>204</v>
      </c>
      <c r="J212">
        <v>-227.9128949070996</v>
      </c>
    </row>
    <row r="213" spans="1:10" x14ac:dyDescent="0.35">
      <c r="A213">
        <v>205</v>
      </c>
      <c r="B213">
        <v>375.10258307639089</v>
      </c>
      <c r="C213">
        <v>205</v>
      </c>
      <c r="D213">
        <v>854.36905783916325</v>
      </c>
      <c r="E213">
        <v>205</v>
      </c>
      <c r="F213">
        <v>178.18666954267945</v>
      </c>
      <c r="G213">
        <v>205</v>
      </c>
      <c r="H213">
        <v>-24.298164424563936</v>
      </c>
      <c r="I213">
        <v>205</v>
      </c>
      <c r="J213">
        <v>-266.62420868068705</v>
      </c>
    </row>
    <row r="214" spans="1:10" x14ac:dyDescent="0.35">
      <c r="A214">
        <v>206</v>
      </c>
      <c r="B214">
        <v>439.20011520030442</v>
      </c>
      <c r="C214">
        <v>206</v>
      </c>
      <c r="D214">
        <v>1102.817381878267</v>
      </c>
      <c r="E214">
        <v>206</v>
      </c>
      <c r="F214">
        <v>146.79639678024387</v>
      </c>
      <c r="G214">
        <v>206</v>
      </c>
      <c r="H214">
        <v>1141.7845168649528</v>
      </c>
      <c r="I214">
        <v>206</v>
      </c>
      <c r="J214">
        <v>-432.66087372281982</v>
      </c>
    </row>
    <row r="215" spans="1:10" x14ac:dyDescent="0.35">
      <c r="A215">
        <v>207</v>
      </c>
      <c r="B215">
        <v>454.69220892278076</v>
      </c>
      <c r="C215">
        <v>207</v>
      </c>
      <c r="D215">
        <v>272.66152461812135</v>
      </c>
      <c r="E215">
        <v>207</v>
      </c>
      <c r="F215">
        <v>74.818704926715156</v>
      </c>
      <c r="G215">
        <v>207</v>
      </c>
      <c r="H215">
        <v>1054.5945248785265</v>
      </c>
      <c r="I215">
        <v>207</v>
      </c>
      <c r="J215">
        <v>-1131.0437053422484</v>
      </c>
    </row>
    <row r="216" spans="1:10" x14ac:dyDescent="0.35">
      <c r="A216">
        <v>208</v>
      </c>
      <c r="B216">
        <v>361.1243674709072</v>
      </c>
      <c r="C216">
        <v>208</v>
      </c>
      <c r="D216">
        <v>465.17531556039938</v>
      </c>
      <c r="E216">
        <v>208</v>
      </c>
      <c r="F216">
        <v>18.141216548286465</v>
      </c>
      <c r="G216">
        <v>208</v>
      </c>
      <c r="H216">
        <v>341.83202714070751</v>
      </c>
      <c r="I216">
        <v>208</v>
      </c>
      <c r="J216">
        <v>126.52962032705693</v>
      </c>
    </row>
    <row r="217" spans="1:10" x14ac:dyDescent="0.35">
      <c r="A217">
        <v>209</v>
      </c>
      <c r="B217">
        <v>603.09667904479829</v>
      </c>
      <c r="C217">
        <v>209</v>
      </c>
      <c r="D217">
        <v>540.60616267797434</v>
      </c>
      <c r="E217">
        <v>209</v>
      </c>
      <c r="F217">
        <v>-14.398881282362524</v>
      </c>
      <c r="G217">
        <v>209</v>
      </c>
      <c r="H217">
        <v>523.386133245721</v>
      </c>
      <c r="I217">
        <v>209</v>
      </c>
      <c r="J217">
        <v>-114.71186505137901</v>
      </c>
    </row>
    <row r="218" spans="1:10" x14ac:dyDescent="0.35">
      <c r="A218">
        <v>210</v>
      </c>
      <c r="B218">
        <v>715.56334477813266</v>
      </c>
      <c r="C218">
        <v>210</v>
      </c>
      <c r="D218">
        <v>617.3176343051307</v>
      </c>
      <c r="E218">
        <v>210</v>
      </c>
      <c r="F218">
        <v>73.006551424865734</v>
      </c>
      <c r="G218">
        <v>210</v>
      </c>
      <c r="H218">
        <v>499.7660033703765</v>
      </c>
      <c r="I218">
        <v>210</v>
      </c>
      <c r="J218">
        <v>-899.13162751400148</v>
      </c>
    </row>
    <row r="219" spans="1:10" x14ac:dyDescent="0.35">
      <c r="A219">
        <v>211</v>
      </c>
      <c r="B219">
        <v>772.88520187316453</v>
      </c>
      <c r="C219">
        <v>211</v>
      </c>
      <c r="D219">
        <v>1025.3426567090851</v>
      </c>
      <c r="E219">
        <v>211</v>
      </c>
      <c r="F219">
        <v>-146.01226102896049</v>
      </c>
      <c r="G219">
        <v>211</v>
      </c>
      <c r="H219">
        <v>1302.9155407051203</v>
      </c>
      <c r="I219">
        <v>211</v>
      </c>
      <c r="J219">
        <v>-221.35887800256111</v>
      </c>
    </row>
    <row r="220" spans="1:10" x14ac:dyDescent="0.35">
      <c r="A220">
        <v>212</v>
      </c>
      <c r="B220">
        <v>643.35690652313394</v>
      </c>
      <c r="C220">
        <v>212</v>
      </c>
      <c r="D220">
        <v>402.14493151932049</v>
      </c>
      <c r="E220">
        <v>212</v>
      </c>
      <c r="F220">
        <v>-71.914897499179233</v>
      </c>
      <c r="G220">
        <v>212</v>
      </c>
      <c r="H220">
        <v>482.16023222351475</v>
      </c>
      <c r="I220">
        <v>212</v>
      </c>
      <c r="J220">
        <v>444.11881497453533</v>
      </c>
    </row>
    <row r="221" spans="1:10" x14ac:dyDescent="0.35">
      <c r="A221">
        <v>213</v>
      </c>
      <c r="B221">
        <v>1041.9192132218893</v>
      </c>
      <c r="C221">
        <v>213</v>
      </c>
      <c r="D221">
        <v>711.32134949325507</v>
      </c>
      <c r="E221">
        <v>213</v>
      </c>
      <c r="F221">
        <v>-121.52850624871715</v>
      </c>
      <c r="G221">
        <v>213</v>
      </c>
      <c r="H221">
        <v>228.55501790157294</v>
      </c>
      <c r="I221">
        <v>213</v>
      </c>
      <c r="J221">
        <v>204.23164680775443</v>
      </c>
    </row>
    <row r="222" spans="1:10" x14ac:dyDescent="0.35">
      <c r="A222">
        <v>214</v>
      </c>
      <c r="B222">
        <v>662.30491207531463</v>
      </c>
      <c r="C222">
        <v>214</v>
      </c>
      <c r="D222">
        <v>896.39559581093977</v>
      </c>
      <c r="E222">
        <v>214</v>
      </c>
      <c r="F222">
        <v>310.64839362321885</v>
      </c>
      <c r="G222">
        <v>214</v>
      </c>
      <c r="H222">
        <v>535.07943756418206</v>
      </c>
      <c r="I222">
        <v>214</v>
      </c>
      <c r="J222">
        <v>382.72146045283739</v>
      </c>
    </row>
    <row r="223" spans="1:10" x14ac:dyDescent="0.35">
      <c r="A223">
        <v>215</v>
      </c>
      <c r="B223">
        <v>566.28584505176275</v>
      </c>
      <c r="C223">
        <v>215</v>
      </c>
      <c r="D223">
        <v>924.37564208144408</v>
      </c>
      <c r="E223">
        <v>215</v>
      </c>
      <c r="F223">
        <v>139.92590354410009</v>
      </c>
      <c r="G223">
        <v>215</v>
      </c>
      <c r="H223">
        <v>243.94292128923351</v>
      </c>
      <c r="I223">
        <v>215</v>
      </c>
      <c r="J223">
        <v>-512.33388394760084</v>
      </c>
    </row>
    <row r="224" spans="1:10" x14ac:dyDescent="0.35">
      <c r="A224">
        <v>216</v>
      </c>
      <c r="B224">
        <v>456.73212733519358</v>
      </c>
      <c r="C224">
        <v>216</v>
      </c>
      <c r="D224">
        <v>480.84499547685482</v>
      </c>
      <c r="E224">
        <v>216</v>
      </c>
      <c r="F224">
        <v>277.51641962087376</v>
      </c>
      <c r="G224">
        <v>216</v>
      </c>
      <c r="H224">
        <v>301.81086225813397</v>
      </c>
      <c r="I224">
        <v>216</v>
      </c>
      <c r="J224">
        <v>-241.60951867038747</v>
      </c>
    </row>
    <row r="225" spans="1:10" x14ac:dyDescent="0.35">
      <c r="A225">
        <v>217</v>
      </c>
      <c r="B225">
        <v>285.94983859824617</v>
      </c>
      <c r="C225">
        <v>217</v>
      </c>
      <c r="D225">
        <v>539.82835507805055</v>
      </c>
      <c r="E225">
        <v>217</v>
      </c>
      <c r="F225">
        <v>3.1786415871734874</v>
      </c>
      <c r="G225">
        <v>217</v>
      </c>
      <c r="H225">
        <v>869.46901415000605</v>
      </c>
      <c r="I225">
        <v>217</v>
      </c>
      <c r="J225">
        <v>-306.06280110093746</v>
      </c>
    </row>
    <row r="226" spans="1:10" x14ac:dyDescent="0.35">
      <c r="A226">
        <v>218</v>
      </c>
      <c r="B226">
        <v>591.69213342014802</v>
      </c>
      <c r="C226">
        <v>218</v>
      </c>
      <c r="D226">
        <v>693.9037249884293</v>
      </c>
      <c r="E226">
        <v>218</v>
      </c>
      <c r="F226">
        <v>60.931349224439529</v>
      </c>
      <c r="G226">
        <v>218</v>
      </c>
      <c r="H226">
        <v>288.6104626794322</v>
      </c>
      <c r="I226">
        <v>218</v>
      </c>
      <c r="J226">
        <v>205.68166771879345</v>
      </c>
    </row>
    <row r="227" spans="1:10" x14ac:dyDescent="0.35">
      <c r="A227">
        <v>219</v>
      </c>
      <c r="B227">
        <v>881.80884983090493</v>
      </c>
      <c r="C227">
        <v>219</v>
      </c>
      <c r="D227">
        <v>692.95766409397083</v>
      </c>
      <c r="E227">
        <v>219</v>
      </c>
      <c r="F227">
        <v>1.1024812060882851</v>
      </c>
      <c r="G227">
        <v>219</v>
      </c>
      <c r="H227">
        <v>-138.13669769912366</v>
      </c>
      <c r="I227">
        <v>219</v>
      </c>
      <c r="J227">
        <v>-103.40084336911731</v>
      </c>
    </row>
    <row r="228" spans="1:10" x14ac:dyDescent="0.35">
      <c r="A228">
        <v>220</v>
      </c>
      <c r="B228">
        <v>348.96282034862077</v>
      </c>
      <c r="C228">
        <v>220</v>
      </c>
      <c r="D228">
        <v>752.53512498343343</v>
      </c>
      <c r="E228">
        <v>220</v>
      </c>
      <c r="F228">
        <v>-38.53502288456913</v>
      </c>
      <c r="G228">
        <v>220</v>
      </c>
      <c r="H228">
        <v>507.48279738480619</v>
      </c>
      <c r="I228">
        <v>220</v>
      </c>
      <c r="J228">
        <v>93.620617745931042</v>
      </c>
    </row>
    <row r="229" spans="1:10" x14ac:dyDescent="0.35">
      <c r="A229">
        <v>221</v>
      </c>
      <c r="B229">
        <v>598.4457537939935</v>
      </c>
      <c r="C229">
        <v>221</v>
      </c>
      <c r="D229">
        <v>953.83491714793672</v>
      </c>
      <c r="E229">
        <v>221</v>
      </c>
      <c r="F229">
        <v>-89.825991690746918</v>
      </c>
      <c r="G229">
        <v>221</v>
      </c>
      <c r="H229">
        <v>501.03977615159022</v>
      </c>
      <c r="I229">
        <v>221</v>
      </c>
      <c r="J229">
        <v>661.90785621490841</v>
      </c>
    </row>
    <row r="230" spans="1:10" x14ac:dyDescent="0.35">
      <c r="A230">
        <v>222</v>
      </c>
      <c r="B230">
        <v>486.46109724393546</v>
      </c>
      <c r="C230">
        <v>222</v>
      </c>
      <c r="D230">
        <v>608.16346845032695</v>
      </c>
      <c r="E230">
        <v>222</v>
      </c>
      <c r="F230">
        <v>176.55155345337093</v>
      </c>
      <c r="G230">
        <v>222</v>
      </c>
      <c r="H230">
        <v>759.46465731626449</v>
      </c>
      <c r="I230">
        <v>222</v>
      </c>
      <c r="J230">
        <v>123.89541905535458</v>
      </c>
    </row>
    <row r="231" spans="1:10" x14ac:dyDescent="0.35">
      <c r="A231">
        <v>223</v>
      </c>
      <c r="B231">
        <v>445.62224023129437</v>
      </c>
      <c r="C231">
        <v>223</v>
      </c>
      <c r="D231">
        <v>219.49639911097512</v>
      </c>
      <c r="E231">
        <v>223</v>
      </c>
      <c r="F231">
        <v>381.88745014833086</v>
      </c>
      <c r="G231">
        <v>223</v>
      </c>
      <c r="H231">
        <v>261.20605659786099</v>
      </c>
      <c r="I231">
        <v>223</v>
      </c>
      <c r="J231">
        <v>-348.54171874699966</v>
      </c>
    </row>
    <row r="232" spans="1:10" x14ac:dyDescent="0.35">
      <c r="A232">
        <v>224</v>
      </c>
      <c r="B232">
        <v>143.03393266273338</v>
      </c>
      <c r="C232">
        <v>224</v>
      </c>
      <c r="D232">
        <v>841.80237006404559</v>
      </c>
      <c r="E232">
        <v>224</v>
      </c>
      <c r="F232">
        <v>-129.46488661192652</v>
      </c>
      <c r="G232">
        <v>224</v>
      </c>
      <c r="H232">
        <v>490.29298840228705</v>
      </c>
      <c r="I232">
        <v>224</v>
      </c>
      <c r="J232">
        <v>-186.7417459947969</v>
      </c>
    </row>
    <row r="233" spans="1:10" x14ac:dyDescent="0.35">
      <c r="A233">
        <v>225</v>
      </c>
      <c r="B233">
        <v>914.74299751369188</v>
      </c>
      <c r="C233">
        <v>225</v>
      </c>
      <c r="D233">
        <v>748.47614800694339</v>
      </c>
      <c r="E233">
        <v>225</v>
      </c>
      <c r="F233">
        <v>-53.211960906493005</v>
      </c>
      <c r="G233">
        <v>225</v>
      </c>
      <c r="H233">
        <v>398.71168310970381</v>
      </c>
      <c r="I233">
        <v>225</v>
      </c>
      <c r="J233">
        <v>-617.99586539632469</v>
      </c>
    </row>
    <row r="234" spans="1:10" x14ac:dyDescent="0.35">
      <c r="A234">
        <v>226</v>
      </c>
      <c r="B234">
        <v>967.62932538657549</v>
      </c>
      <c r="C234">
        <v>226</v>
      </c>
      <c r="D234">
        <v>504.87840324587881</v>
      </c>
      <c r="E234">
        <v>226</v>
      </c>
      <c r="F234">
        <v>28.771930918956016</v>
      </c>
      <c r="G234">
        <v>226</v>
      </c>
      <c r="H234">
        <v>793.10670167067497</v>
      </c>
      <c r="I234">
        <v>226</v>
      </c>
      <c r="J234">
        <v>-32.247664395775899</v>
      </c>
    </row>
    <row r="235" spans="1:10" x14ac:dyDescent="0.35">
      <c r="A235">
        <v>227</v>
      </c>
      <c r="B235">
        <v>454.05896985501249</v>
      </c>
      <c r="C235">
        <v>227</v>
      </c>
      <c r="D235">
        <v>550.33897737202631</v>
      </c>
      <c r="E235">
        <v>227</v>
      </c>
      <c r="F235">
        <v>179.0600586304071</v>
      </c>
      <c r="G235">
        <v>227</v>
      </c>
      <c r="H235">
        <v>498.20854887298242</v>
      </c>
      <c r="I235">
        <v>227</v>
      </c>
      <c r="J235">
        <v>-210.41080166347285</v>
      </c>
    </row>
    <row r="236" spans="1:10" x14ac:dyDescent="0.35">
      <c r="A236">
        <v>228</v>
      </c>
      <c r="B236">
        <v>659.60136315860461</v>
      </c>
      <c r="C236">
        <v>228</v>
      </c>
      <c r="D236">
        <v>626.07824537633189</v>
      </c>
      <c r="E236">
        <v>228</v>
      </c>
      <c r="F236">
        <v>645.16770195159643</v>
      </c>
      <c r="G236">
        <v>228</v>
      </c>
      <c r="H236">
        <v>566.03372836724873</v>
      </c>
      <c r="I236">
        <v>228</v>
      </c>
      <c r="J236">
        <v>-347.25429595464954</v>
      </c>
    </row>
    <row r="237" spans="1:10" x14ac:dyDescent="0.35">
      <c r="A237">
        <v>229</v>
      </c>
      <c r="B237">
        <v>686.57194586099502</v>
      </c>
      <c r="C237">
        <v>229</v>
      </c>
      <c r="D237">
        <v>788.56372315887882</v>
      </c>
      <c r="E237">
        <v>229</v>
      </c>
      <c r="F237">
        <v>-47.007288147024724</v>
      </c>
      <c r="G237">
        <v>229</v>
      </c>
      <c r="H237">
        <v>787.64515007311411</v>
      </c>
      <c r="I237">
        <v>229</v>
      </c>
      <c r="J237">
        <v>-331.19454326516359</v>
      </c>
    </row>
    <row r="238" spans="1:10" x14ac:dyDescent="0.35">
      <c r="A238">
        <v>230</v>
      </c>
      <c r="B238">
        <v>748.05091344125458</v>
      </c>
      <c r="C238">
        <v>230</v>
      </c>
      <c r="D238">
        <v>602.83944337516289</v>
      </c>
      <c r="E238">
        <v>230</v>
      </c>
      <c r="F238">
        <v>275.06164708222116</v>
      </c>
      <c r="G238">
        <v>230</v>
      </c>
      <c r="H238">
        <v>-448.3090895795205</v>
      </c>
      <c r="I238">
        <v>230</v>
      </c>
      <c r="J238">
        <v>-132.68452559989771</v>
      </c>
    </row>
    <row r="239" spans="1:10" x14ac:dyDescent="0.35">
      <c r="A239">
        <v>231</v>
      </c>
      <c r="B239">
        <v>749.03389101042876</v>
      </c>
      <c r="C239">
        <v>231</v>
      </c>
      <c r="D239">
        <v>677.13142642855416</v>
      </c>
      <c r="E239">
        <v>231</v>
      </c>
      <c r="F239">
        <v>199.64624468665698</v>
      </c>
      <c r="G239">
        <v>231</v>
      </c>
      <c r="H239">
        <v>448.25497562019467</v>
      </c>
      <c r="I239">
        <v>231</v>
      </c>
      <c r="J239">
        <v>-265.41904328636571</v>
      </c>
    </row>
    <row r="240" spans="1:10" x14ac:dyDescent="0.35">
      <c r="A240">
        <v>232</v>
      </c>
      <c r="B240">
        <v>542.61095048614493</v>
      </c>
      <c r="C240">
        <v>232</v>
      </c>
      <c r="D240">
        <v>747.60562105938834</v>
      </c>
      <c r="E240">
        <v>232</v>
      </c>
      <c r="F240">
        <v>112.28642701834951</v>
      </c>
      <c r="G240">
        <v>232</v>
      </c>
      <c r="H240">
        <v>1457.6255547797741</v>
      </c>
      <c r="I240">
        <v>232</v>
      </c>
      <c r="J240">
        <v>-226.73890620067709</v>
      </c>
    </row>
    <row r="241" spans="1:10" x14ac:dyDescent="0.35">
      <c r="A241">
        <v>233</v>
      </c>
      <c r="B241">
        <v>918.32140744126298</v>
      </c>
      <c r="C241">
        <v>233</v>
      </c>
      <c r="D241">
        <v>730.57493609796984</v>
      </c>
      <c r="E241">
        <v>233</v>
      </c>
      <c r="F241">
        <v>-15.254419974227858</v>
      </c>
      <c r="G241">
        <v>233</v>
      </c>
      <c r="H241">
        <v>1118.1059446058284</v>
      </c>
      <c r="I241">
        <v>233</v>
      </c>
      <c r="J241">
        <v>-107.77802710199073</v>
      </c>
    </row>
    <row r="242" spans="1:10" x14ac:dyDescent="0.35">
      <c r="A242">
        <v>234</v>
      </c>
      <c r="B242">
        <v>406.45206658797952</v>
      </c>
      <c r="C242">
        <v>234</v>
      </c>
      <c r="D242">
        <v>1146.9814277913549</v>
      </c>
      <c r="E242">
        <v>234</v>
      </c>
      <c r="F242">
        <v>-38.82610590388407</v>
      </c>
      <c r="G242">
        <v>234</v>
      </c>
      <c r="H242">
        <v>490.19345977298383</v>
      </c>
      <c r="I242">
        <v>234</v>
      </c>
      <c r="J242">
        <v>-495.04633670037657</v>
      </c>
    </row>
    <row r="243" spans="1:10" x14ac:dyDescent="0.35">
      <c r="A243">
        <v>235</v>
      </c>
      <c r="B243">
        <v>670.44080369950984</v>
      </c>
      <c r="C243">
        <v>235</v>
      </c>
      <c r="D243">
        <v>613.82088990891771</v>
      </c>
      <c r="E243">
        <v>235</v>
      </c>
      <c r="F243">
        <v>-119.65474113087842</v>
      </c>
      <c r="G243">
        <v>235</v>
      </c>
      <c r="H243">
        <v>466.66868691218826</v>
      </c>
      <c r="I243">
        <v>235</v>
      </c>
      <c r="J243">
        <v>-703.26141046612565</v>
      </c>
    </row>
    <row r="244" spans="1:10" x14ac:dyDescent="0.35">
      <c r="A244">
        <v>236</v>
      </c>
      <c r="B244">
        <v>82.367602584434394</v>
      </c>
      <c r="C244">
        <v>236</v>
      </c>
      <c r="D244">
        <v>273.44250177292031</v>
      </c>
      <c r="E244">
        <v>236</v>
      </c>
      <c r="F244">
        <v>-92.900104111805291</v>
      </c>
      <c r="G244">
        <v>236</v>
      </c>
      <c r="H244">
        <v>324.88665430290371</v>
      </c>
      <c r="I244">
        <v>236</v>
      </c>
      <c r="J244">
        <v>-256.36555083861299</v>
      </c>
    </row>
    <row r="245" spans="1:10" x14ac:dyDescent="0.35">
      <c r="A245">
        <v>237</v>
      </c>
      <c r="B245">
        <v>617.7517453588888</v>
      </c>
      <c r="C245">
        <v>237</v>
      </c>
      <c r="D245">
        <v>866.06410167998581</v>
      </c>
      <c r="E245">
        <v>237</v>
      </c>
      <c r="F245">
        <v>95.801200089862434</v>
      </c>
      <c r="G245">
        <v>237</v>
      </c>
      <c r="H245">
        <v>806.16051503514086</v>
      </c>
      <c r="I245">
        <v>237</v>
      </c>
      <c r="J245">
        <v>-463.28199481793229</v>
      </c>
    </row>
    <row r="246" spans="1:10" x14ac:dyDescent="0.35">
      <c r="A246">
        <v>238</v>
      </c>
      <c r="B246">
        <v>861.06312180468262</v>
      </c>
      <c r="C246">
        <v>238</v>
      </c>
      <c r="D246">
        <v>837.55075181944255</v>
      </c>
      <c r="E246">
        <v>238</v>
      </c>
      <c r="F246">
        <v>-252.18295841430472</v>
      </c>
      <c r="G246">
        <v>238</v>
      </c>
      <c r="H246">
        <v>1005.8959495993852</v>
      </c>
      <c r="I246">
        <v>238</v>
      </c>
      <c r="J246">
        <v>-471.10391724604318</v>
      </c>
    </row>
    <row r="247" spans="1:10" x14ac:dyDescent="0.35">
      <c r="A247">
        <v>239</v>
      </c>
      <c r="B247">
        <v>952.5051620350871</v>
      </c>
      <c r="C247">
        <v>239</v>
      </c>
      <c r="D247">
        <v>749.5849375838535</v>
      </c>
      <c r="E247">
        <v>239</v>
      </c>
      <c r="F247">
        <v>409.9452697955353</v>
      </c>
      <c r="G247">
        <v>239</v>
      </c>
      <c r="H247">
        <v>528.31311102073596</v>
      </c>
      <c r="I247">
        <v>239</v>
      </c>
      <c r="J247">
        <v>-75.650960335267314</v>
      </c>
    </row>
    <row r="248" spans="1:10" x14ac:dyDescent="0.35">
      <c r="A248">
        <v>240</v>
      </c>
      <c r="B248">
        <v>708.54271628911761</v>
      </c>
      <c r="C248">
        <v>240</v>
      </c>
      <c r="D248">
        <v>466.70041601560473</v>
      </c>
      <c r="E248">
        <v>240</v>
      </c>
      <c r="F248">
        <v>64.308737052027851</v>
      </c>
      <c r="G248">
        <v>240</v>
      </c>
      <c r="H248">
        <v>-175.93927136572319</v>
      </c>
      <c r="I248">
        <v>240</v>
      </c>
      <c r="J248">
        <v>-51.778472512167781</v>
      </c>
    </row>
    <row r="249" spans="1:10" x14ac:dyDescent="0.35">
      <c r="A249">
        <v>241</v>
      </c>
      <c r="B249">
        <v>731.31715089391787</v>
      </c>
      <c r="C249">
        <v>241</v>
      </c>
      <c r="D249">
        <v>600.99909963625601</v>
      </c>
      <c r="E249">
        <v>241</v>
      </c>
      <c r="F249">
        <v>47.621796187044467</v>
      </c>
      <c r="G249">
        <v>241</v>
      </c>
      <c r="H249">
        <v>208.87281218693548</v>
      </c>
      <c r="I249">
        <v>241</v>
      </c>
      <c r="J249">
        <v>-157.15792191624541</v>
      </c>
    </row>
    <row r="250" spans="1:10" x14ac:dyDescent="0.35">
      <c r="A250">
        <v>242</v>
      </c>
      <c r="B250">
        <v>571.9732533697636</v>
      </c>
      <c r="C250">
        <v>242</v>
      </c>
      <c r="D250">
        <v>224.55808085476525</v>
      </c>
      <c r="E250">
        <v>242</v>
      </c>
      <c r="F250">
        <v>382.40402144432113</v>
      </c>
      <c r="G250">
        <v>242</v>
      </c>
      <c r="H250">
        <v>186.10517768418299</v>
      </c>
      <c r="I250">
        <v>242</v>
      </c>
      <c r="J250">
        <v>-220.16919835467411</v>
      </c>
    </row>
    <row r="251" spans="1:10" x14ac:dyDescent="0.35">
      <c r="A251">
        <v>243</v>
      </c>
      <c r="B251">
        <v>565.72148763118855</v>
      </c>
      <c r="C251">
        <v>243</v>
      </c>
      <c r="D251">
        <v>348.63100501739649</v>
      </c>
      <c r="E251">
        <v>243</v>
      </c>
      <c r="F251">
        <v>-210.72761469624368</v>
      </c>
      <c r="G251">
        <v>243</v>
      </c>
      <c r="H251">
        <v>236.61651123465356</v>
      </c>
      <c r="I251">
        <v>243</v>
      </c>
      <c r="J251">
        <v>144.56528425505985</v>
      </c>
    </row>
    <row r="252" spans="1:10" x14ac:dyDescent="0.35">
      <c r="A252">
        <v>244</v>
      </c>
      <c r="B252">
        <v>711.0096646074586</v>
      </c>
      <c r="C252">
        <v>244</v>
      </c>
      <c r="D252">
        <v>671.91766716397478</v>
      </c>
      <c r="E252">
        <v>244</v>
      </c>
      <c r="F252">
        <v>286.49293526606743</v>
      </c>
      <c r="G252">
        <v>244</v>
      </c>
      <c r="H252">
        <v>174.81655712956876</v>
      </c>
      <c r="I252">
        <v>244</v>
      </c>
      <c r="J252">
        <v>-990.5796310798645</v>
      </c>
    </row>
    <row r="253" spans="1:10" x14ac:dyDescent="0.35">
      <c r="A253">
        <v>245</v>
      </c>
      <c r="B253">
        <v>760.64533469626826</v>
      </c>
      <c r="C253">
        <v>245</v>
      </c>
      <c r="D253">
        <v>697.60031776800759</v>
      </c>
      <c r="E253">
        <v>245</v>
      </c>
      <c r="F253">
        <v>442.24163768692415</v>
      </c>
      <c r="G253">
        <v>245</v>
      </c>
      <c r="H253">
        <v>504.24255023094003</v>
      </c>
      <c r="I253">
        <v>245</v>
      </c>
      <c r="J253">
        <v>-156.61654275067471</v>
      </c>
    </row>
    <row r="254" spans="1:10" x14ac:dyDescent="0.35">
      <c r="A254">
        <v>246</v>
      </c>
      <c r="B254">
        <v>759.41328931025203</v>
      </c>
      <c r="C254">
        <v>246</v>
      </c>
      <c r="D254">
        <v>664.42686190384393</v>
      </c>
      <c r="E254">
        <v>246</v>
      </c>
      <c r="F254">
        <v>152.83219718723768</v>
      </c>
      <c r="G254">
        <v>246</v>
      </c>
      <c r="H254">
        <v>843.85533512528764</v>
      </c>
      <c r="I254">
        <v>246</v>
      </c>
      <c r="J254">
        <v>-29.287796324684848</v>
      </c>
    </row>
    <row r="255" spans="1:10" x14ac:dyDescent="0.35">
      <c r="A255">
        <v>247</v>
      </c>
      <c r="B255">
        <v>308.3016481605784</v>
      </c>
      <c r="C255">
        <v>247</v>
      </c>
      <c r="D255">
        <v>398.07756875381722</v>
      </c>
      <c r="E255">
        <v>247</v>
      </c>
      <c r="F255">
        <v>124.93347173880058</v>
      </c>
      <c r="G255">
        <v>247</v>
      </c>
      <c r="H255">
        <v>321.2996803317485</v>
      </c>
      <c r="I255">
        <v>247</v>
      </c>
      <c r="J255">
        <v>-672.48648449970233</v>
      </c>
    </row>
    <row r="256" spans="1:10" x14ac:dyDescent="0.35">
      <c r="A256">
        <v>248</v>
      </c>
      <c r="B256">
        <v>411.09312793876279</v>
      </c>
      <c r="C256">
        <v>248</v>
      </c>
      <c r="D256">
        <v>345.09199205312439</v>
      </c>
      <c r="E256">
        <v>248</v>
      </c>
      <c r="F256">
        <v>140.22746715927292</v>
      </c>
      <c r="G256">
        <v>248</v>
      </c>
      <c r="H256">
        <v>686.05288732804752</v>
      </c>
      <c r="I256">
        <v>248</v>
      </c>
      <c r="J256">
        <v>-188.81854078343133</v>
      </c>
    </row>
    <row r="257" spans="1:10" x14ac:dyDescent="0.35">
      <c r="A257">
        <v>249</v>
      </c>
      <c r="B257">
        <v>242.26551749458116</v>
      </c>
      <c r="C257">
        <v>249</v>
      </c>
      <c r="D257">
        <v>656.15145415952054</v>
      </c>
      <c r="E257">
        <v>249</v>
      </c>
      <c r="F257">
        <v>60.294682595489064</v>
      </c>
      <c r="G257">
        <v>249</v>
      </c>
      <c r="H257">
        <v>1298.3022846671211</v>
      </c>
      <c r="I257">
        <v>249</v>
      </c>
      <c r="J257">
        <v>-191.84663000819614</v>
      </c>
    </row>
    <row r="258" spans="1:10" x14ac:dyDescent="0.35">
      <c r="A258">
        <v>250</v>
      </c>
      <c r="B258">
        <v>797.76586776701856</v>
      </c>
      <c r="C258">
        <v>250</v>
      </c>
      <c r="D258">
        <v>638.08420778573691</v>
      </c>
      <c r="E258">
        <v>250</v>
      </c>
      <c r="F258">
        <v>312.09631700086652</v>
      </c>
      <c r="G258">
        <v>250</v>
      </c>
      <c r="H258">
        <v>309.18612443243796</v>
      </c>
      <c r="I258">
        <v>250</v>
      </c>
      <c r="J258">
        <v>51.44969788680686</v>
      </c>
    </row>
    <row r="259" spans="1:10" x14ac:dyDescent="0.35">
      <c r="A259">
        <v>251</v>
      </c>
      <c r="B259">
        <v>636.62401133001174</v>
      </c>
      <c r="C259">
        <v>251</v>
      </c>
      <c r="D259">
        <v>1036.8655868061853</v>
      </c>
      <c r="E259">
        <v>251</v>
      </c>
      <c r="F259">
        <v>361.53397645261498</v>
      </c>
      <c r="G259">
        <v>251</v>
      </c>
      <c r="H259">
        <v>411.25537691105961</v>
      </c>
      <c r="I259">
        <v>251</v>
      </c>
      <c r="J259">
        <v>-65.626750563931637</v>
      </c>
    </row>
    <row r="260" spans="1:10" x14ac:dyDescent="0.35">
      <c r="A260">
        <v>252</v>
      </c>
      <c r="B260">
        <v>569.15834889984012</v>
      </c>
      <c r="C260">
        <v>252</v>
      </c>
      <c r="D260">
        <v>862.25832584127147</v>
      </c>
      <c r="E260">
        <v>252</v>
      </c>
      <c r="F260">
        <v>356.65701828670416</v>
      </c>
      <c r="G260">
        <v>252</v>
      </c>
      <c r="H260">
        <v>276.65421977747627</v>
      </c>
      <c r="I260">
        <v>252</v>
      </c>
      <c r="J260">
        <v>487.11235431538012</v>
      </c>
    </row>
    <row r="261" spans="1:10" x14ac:dyDescent="0.35">
      <c r="A261">
        <v>253</v>
      </c>
      <c r="B261">
        <v>671.22762328314184</v>
      </c>
      <c r="C261">
        <v>253</v>
      </c>
      <c r="D261">
        <v>511.53759650597681</v>
      </c>
      <c r="E261">
        <v>253</v>
      </c>
      <c r="F261">
        <v>79.452718298440658</v>
      </c>
      <c r="G261">
        <v>253</v>
      </c>
      <c r="H261">
        <v>929.87035035176177</v>
      </c>
      <c r="I261">
        <v>253</v>
      </c>
      <c r="J261">
        <v>-485.17934622073204</v>
      </c>
    </row>
    <row r="262" spans="1:10" x14ac:dyDescent="0.35">
      <c r="A262">
        <v>254</v>
      </c>
      <c r="B262">
        <v>803.27738797337474</v>
      </c>
      <c r="C262">
        <v>254</v>
      </c>
      <c r="D262">
        <v>701.6879305400555</v>
      </c>
      <c r="E262">
        <v>254</v>
      </c>
      <c r="F262">
        <v>-74.128301529079465</v>
      </c>
      <c r="G262">
        <v>254</v>
      </c>
      <c r="H262">
        <v>713.60896843331761</v>
      </c>
      <c r="I262">
        <v>254</v>
      </c>
      <c r="J262">
        <v>-269.63424575215976</v>
      </c>
    </row>
    <row r="263" spans="1:10" x14ac:dyDescent="0.35">
      <c r="A263">
        <v>255</v>
      </c>
      <c r="B263">
        <v>349.14253305588494</v>
      </c>
      <c r="C263">
        <v>255</v>
      </c>
      <c r="D263">
        <v>851.85985064830595</v>
      </c>
      <c r="E263">
        <v>255</v>
      </c>
      <c r="F263">
        <v>-50.826005013852097</v>
      </c>
      <c r="G263">
        <v>255</v>
      </c>
      <c r="H263">
        <v>938.18641425923079</v>
      </c>
      <c r="I263">
        <v>255</v>
      </c>
      <c r="J263">
        <v>-210.7652455234024</v>
      </c>
    </row>
    <row r="264" spans="1:10" x14ac:dyDescent="0.35">
      <c r="A264">
        <v>256</v>
      </c>
      <c r="B264">
        <v>446.45412167551069</v>
      </c>
      <c r="C264">
        <v>256</v>
      </c>
      <c r="D264">
        <v>475.88820659764474</v>
      </c>
      <c r="E264">
        <v>256</v>
      </c>
      <c r="F264">
        <v>415.69020613852058</v>
      </c>
      <c r="G264">
        <v>256</v>
      </c>
      <c r="H264">
        <v>995.6455978723618</v>
      </c>
      <c r="I264">
        <v>256</v>
      </c>
      <c r="J264">
        <v>294.89567123124704</v>
      </c>
    </row>
    <row r="265" spans="1:10" x14ac:dyDescent="0.35">
      <c r="A265">
        <v>257</v>
      </c>
      <c r="B265">
        <v>911.8728104106857</v>
      </c>
      <c r="C265">
        <v>257</v>
      </c>
      <c r="D265">
        <v>666.0290470016065</v>
      </c>
      <c r="E265">
        <v>257</v>
      </c>
      <c r="F265">
        <v>95.721166200915661</v>
      </c>
      <c r="G265">
        <v>257</v>
      </c>
      <c r="H265">
        <v>554.3463282481639</v>
      </c>
      <c r="I265">
        <v>257</v>
      </c>
      <c r="J265">
        <v>250.67948684836728</v>
      </c>
    </row>
    <row r="266" spans="1:10" x14ac:dyDescent="0.35">
      <c r="A266">
        <v>258</v>
      </c>
      <c r="B266">
        <v>587.02421615220749</v>
      </c>
      <c r="C266">
        <v>258</v>
      </c>
      <c r="D266">
        <v>587.59458965386307</v>
      </c>
      <c r="E266">
        <v>258</v>
      </c>
      <c r="F266">
        <v>-147.97330927714827</v>
      </c>
      <c r="G266">
        <v>258</v>
      </c>
      <c r="H266">
        <v>533.13823898428905</v>
      </c>
      <c r="I266">
        <v>258</v>
      </c>
      <c r="J266">
        <v>-229.00005189238189</v>
      </c>
    </row>
    <row r="267" spans="1:10" x14ac:dyDescent="0.35">
      <c r="A267">
        <v>259</v>
      </c>
      <c r="B267">
        <v>807.07478221787414</v>
      </c>
      <c r="C267">
        <v>259</v>
      </c>
      <c r="D267">
        <v>661.85025815401355</v>
      </c>
      <c r="E267">
        <v>259</v>
      </c>
      <c r="F267">
        <v>3.5098492527528435</v>
      </c>
      <c r="G267">
        <v>259</v>
      </c>
      <c r="H267">
        <v>637.36878912049167</v>
      </c>
      <c r="I267">
        <v>259</v>
      </c>
      <c r="J267">
        <v>-230.22751982440963</v>
      </c>
    </row>
    <row r="268" spans="1:10" x14ac:dyDescent="0.35">
      <c r="A268">
        <v>260</v>
      </c>
      <c r="B268">
        <v>709.98254551111904</v>
      </c>
      <c r="C268">
        <v>260</v>
      </c>
      <c r="D268">
        <v>669.8560412360082</v>
      </c>
      <c r="E268">
        <v>260</v>
      </c>
      <c r="F268">
        <v>5.0249877371054197</v>
      </c>
      <c r="G268">
        <v>260</v>
      </c>
      <c r="H268">
        <v>511.45753330018346</v>
      </c>
      <c r="I268">
        <v>260</v>
      </c>
      <c r="J268">
        <v>-300.28048766915589</v>
      </c>
    </row>
    <row r="269" spans="1:10" x14ac:dyDescent="0.35">
      <c r="A269">
        <v>261</v>
      </c>
      <c r="B269">
        <v>1064.0812704112386</v>
      </c>
      <c r="C269">
        <v>261</v>
      </c>
      <c r="D269">
        <v>824.35018589595427</v>
      </c>
      <c r="E269">
        <v>261</v>
      </c>
      <c r="F269">
        <v>-220.02525834928161</v>
      </c>
      <c r="G269">
        <v>261</v>
      </c>
      <c r="H269">
        <v>59.953793694976696</v>
      </c>
      <c r="I269">
        <v>261</v>
      </c>
      <c r="J269">
        <v>-79.352818317634558</v>
      </c>
    </row>
    <row r="270" spans="1:10" x14ac:dyDescent="0.35">
      <c r="A270">
        <v>262</v>
      </c>
      <c r="B270">
        <v>644.88949076497408</v>
      </c>
      <c r="C270">
        <v>262</v>
      </c>
      <c r="D270">
        <v>673.21521991898499</v>
      </c>
      <c r="E270">
        <v>262</v>
      </c>
      <c r="F270">
        <v>-38.508723512392194</v>
      </c>
      <c r="G270">
        <v>262</v>
      </c>
      <c r="H270">
        <v>-5.4379696192959273</v>
      </c>
      <c r="I270">
        <v>262</v>
      </c>
      <c r="J270">
        <v>-93.273499823366762</v>
      </c>
    </row>
    <row r="271" spans="1:10" x14ac:dyDescent="0.35">
      <c r="A271">
        <v>263</v>
      </c>
      <c r="B271">
        <v>534.38832413321575</v>
      </c>
      <c r="C271">
        <v>263</v>
      </c>
      <c r="D271">
        <v>804.4233498898277</v>
      </c>
      <c r="E271">
        <v>263</v>
      </c>
      <c r="F271">
        <v>-314.54880255054081</v>
      </c>
      <c r="G271">
        <v>263</v>
      </c>
      <c r="H271">
        <v>867.97636872783937</v>
      </c>
      <c r="I271">
        <v>263</v>
      </c>
      <c r="J271">
        <v>-31.684681496245844</v>
      </c>
    </row>
    <row r="272" spans="1:10" x14ac:dyDescent="0.35">
      <c r="A272">
        <v>264</v>
      </c>
      <c r="B272">
        <v>533.18931655355311</v>
      </c>
      <c r="C272">
        <v>264</v>
      </c>
      <c r="D272">
        <v>649.53058949496062</v>
      </c>
      <c r="E272">
        <v>264</v>
      </c>
      <c r="F272">
        <v>16.858207164597573</v>
      </c>
      <c r="G272">
        <v>264</v>
      </c>
      <c r="H272">
        <v>565.39249386009169</v>
      </c>
      <c r="I272">
        <v>264</v>
      </c>
      <c r="J272">
        <v>107.65280613085019</v>
      </c>
    </row>
    <row r="273" spans="1:10" x14ac:dyDescent="0.35">
      <c r="A273">
        <v>265</v>
      </c>
      <c r="B273">
        <v>635.99499957299065</v>
      </c>
      <c r="C273">
        <v>265</v>
      </c>
      <c r="D273">
        <v>692.00686223853495</v>
      </c>
      <c r="E273">
        <v>265</v>
      </c>
      <c r="F273">
        <v>255.94753585800191</v>
      </c>
      <c r="G273">
        <v>265</v>
      </c>
      <c r="H273">
        <v>-174.35873279856293</v>
      </c>
      <c r="I273">
        <v>265</v>
      </c>
      <c r="J273">
        <v>98.21173397402913</v>
      </c>
    </row>
    <row r="274" spans="1:10" x14ac:dyDescent="0.35">
      <c r="A274">
        <v>266</v>
      </c>
      <c r="B274">
        <v>612.40805385495355</v>
      </c>
      <c r="C274">
        <v>266</v>
      </c>
      <c r="D274">
        <v>1027.5986802479542</v>
      </c>
      <c r="E274">
        <v>266</v>
      </c>
      <c r="F274">
        <v>-60.063852154187657</v>
      </c>
      <c r="G274">
        <v>266</v>
      </c>
      <c r="H274">
        <v>286.44490019904674</v>
      </c>
      <c r="I274">
        <v>266</v>
      </c>
      <c r="J274">
        <v>-183.7316766491073</v>
      </c>
    </row>
    <row r="275" spans="1:10" x14ac:dyDescent="0.35">
      <c r="A275">
        <v>267</v>
      </c>
      <c r="B275">
        <v>699.80776185353261</v>
      </c>
      <c r="C275">
        <v>267</v>
      </c>
      <c r="D275">
        <v>545.31512147303408</v>
      </c>
      <c r="E275">
        <v>267</v>
      </c>
      <c r="F275">
        <v>-112.67200844707466</v>
      </c>
      <c r="G275">
        <v>267</v>
      </c>
      <c r="H275">
        <v>354.44556077022048</v>
      </c>
      <c r="I275">
        <v>267</v>
      </c>
      <c r="J275">
        <v>-842.04372065515622</v>
      </c>
    </row>
    <row r="276" spans="1:10" x14ac:dyDescent="0.35">
      <c r="A276">
        <v>268</v>
      </c>
      <c r="B276">
        <v>835.78595036480704</v>
      </c>
      <c r="C276">
        <v>268</v>
      </c>
      <c r="D276">
        <v>427.59640602483887</v>
      </c>
      <c r="E276">
        <v>268</v>
      </c>
      <c r="F276">
        <v>312.54617025126947</v>
      </c>
      <c r="G276">
        <v>268</v>
      </c>
      <c r="H276">
        <v>166.49892232110307</v>
      </c>
      <c r="I276">
        <v>268</v>
      </c>
      <c r="J276">
        <v>246.65824590048851</v>
      </c>
    </row>
    <row r="277" spans="1:10" x14ac:dyDescent="0.35">
      <c r="A277">
        <v>269</v>
      </c>
      <c r="B277">
        <v>459.48002827868379</v>
      </c>
      <c r="C277">
        <v>269</v>
      </c>
      <c r="D277">
        <v>607.53484937946769</v>
      </c>
      <c r="E277">
        <v>269</v>
      </c>
      <c r="F277">
        <v>502.67378495910577</v>
      </c>
      <c r="G277">
        <v>269</v>
      </c>
      <c r="H277">
        <v>1050.2695809673669</v>
      </c>
      <c r="I277">
        <v>269</v>
      </c>
      <c r="J277">
        <v>-475.66422045920774</v>
      </c>
    </row>
    <row r="278" spans="1:10" x14ac:dyDescent="0.35">
      <c r="A278">
        <v>270</v>
      </c>
      <c r="B278">
        <v>500.79305251044434</v>
      </c>
      <c r="C278">
        <v>270</v>
      </c>
      <c r="D278">
        <v>812.73586612596455</v>
      </c>
      <c r="E278">
        <v>270</v>
      </c>
      <c r="F278">
        <v>132.84223958986669</v>
      </c>
      <c r="G278">
        <v>270</v>
      </c>
      <c r="H278">
        <v>844.63464184837733</v>
      </c>
      <c r="I278">
        <v>270</v>
      </c>
      <c r="J278">
        <v>80.75012668309347</v>
      </c>
    </row>
    <row r="279" spans="1:10" x14ac:dyDescent="0.35">
      <c r="A279">
        <v>271</v>
      </c>
      <c r="B279">
        <v>812.79172332604708</v>
      </c>
      <c r="C279">
        <v>271</v>
      </c>
      <c r="D279">
        <v>788.82483553556438</v>
      </c>
      <c r="E279">
        <v>271</v>
      </c>
      <c r="F279">
        <v>205.86964458865458</v>
      </c>
      <c r="G279">
        <v>271</v>
      </c>
      <c r="H279">
        <v>-35.250625130178491</v>
      </c>
      <c r="I279">
        <v>271</v>
      </c>
      <c r="J279">
        <v>-115.52716495585726</v>
      </c>
    </row>
    <row r="280" spans="1:10" x14ac:dyDescent="0.35">
      <c r="A280">
        <v>272</v>
      </c>
      <c r="B280">
        <v>832.43704669483759</v>
      </c>
      <c r="C280">
        <v>272</v>
      </c>
      <c r="D280">
        <v>715.51062331003868</v>
      </c>
      <c r="E280">
        <v>272</v>
      </c>
      <c r="F280">
        <v>289.50139255361591</v>
      </c>
      <c r="G280">
        <v>272</v>
      </c>
      <c r="H280">
        <v>-381.55372240487685</v>
      </c>
      <c r="I280">
        <v>272</v>
      </c>
      <c r="J280">
        <v>-221.09354511341866</v>
      </c>
    </row>
    <row r="281" spans="1:10" x14ac:dyDescent="0.35">
      <c r="A281">
        <v>273</v>
      </c>
      <c r="B281">
        <v>455.61331789405659</v>
      </c>
      <c r="C281">
        <v>273</v>
      </c>
      <c r="D281">
        <v>621.22040227532057</v>
      </c>
      <c r="E281">
        <v>273</v>
      </c>
      <c r="F281">
        <v>-228.19346158896832</v>
      </c>
      <c r="G281">
        <v>273</v>
      </c>
      <c r="H281">
        <v>255.83348602892039</v>
      </c>
      <c r="I281">
        <v>273</v>
      </c>
      <c r="J281">
        <v>-258.93727917794536</v>
      </c>
    </row>
    <row r="282" spans="1:10" x14ac:dyDescent="0.35">
      <c r="A282">
        <v>274</v>
      </c>
      <c r="B282">
        <v>480.82206128359849</v>
      </c>
      <c r="C282">
        <v>274</v>
      </c>
      <c r="D282">
        <v>682.83368686012443</v>
      </c>
      <c r="E282">
        <v>274</v>
      </c>
      <c r="F282">
        <v>113.7598940746345</v>
      </c>
      <c r="G282">
        <v>274</v>
      </c>
      <c r="H282">
        <v>577.46199147733205</v>
      </c>
      <c r="I282">
        <v>274</v>
      </c>
      <c r="J282">
        <v>-431.41908303547234</v>
      </c>
    </row>
    <row r="283" spans="1:10" x14ac:dyDescent="0.35">
      <c r="A283">
        <v>275</v>
      </c>
      <c r="B283">
        <v>284.40594850053662</v>
      </c>
      <c r="C283">
        <v>275</v>
      </c>
      <c r="D283">
        <v>669.94517642878748</v>
      </c>
      <c r="E283">
        <v>275</v>
      </c>
      <c r="F283">
        <v>159.34471739603856</v>
      </c>
      <c r="G283">
        <v>275</v>
      </c>
      <c r="H283">
        <v>634.95371609404549</v>
      </c>
      <c r="I283">
        <v>275</v>
      </c>
      <c r="J283">
        <v>-459.13807911571951</v>
      </c>
    </row>
    <row r="284" spans="1:10" x14ac:dyDescent="0.35">
      <c r="A284">
        <v>276</v>
      </c>
      <c r="B284">
        <v>543.62121302849914</v>
      </c>
      <c r="C284">
        <v>276</v>
      </c>
      <c r="D284">
        <v>624.66716304354134</v>
      </c>
      <c r="E284">
        <v>276</v>
      </c>
      <c r="F284">
        <v>426.44395779198891</v>
      </c>
      <c r="G284">
        <v>276</v>
      </c>
      <c r="H284">
        <v>733.23552170010817</v>
      </c>
      <c r="I284">
        <v>276</v>
      </c>
      <c r="J284">
        <v>-550.95981685835386</v>
      </c>
    </row>
    <row r="285" spans="1:10" x14ac:dyDescent="0.35">
      <c r="A285">
        <v>277</v>
      </c>
      <c r="B285">
        <v>888.67209272045204</v>
      </c>
      <c r="C285">
        <v>277</v>
      </c>
      <c r="D285">
        <v>1031.1405552117637</v>
      </c>
      <c r="E285">
        <v>277</v>
      </c>
      <c r="F285">
        <v>-337.55916227859194</v>
      </c>
      <c r="G285">
        <v>277</v>
      </c>
      <c r="H285">
        <v>906.53760634636501</v>
      </c>
      <c r="I285">
        <v>277</v>
      </c>
      <c r="J285">
        <v>-284.82259141031585</v>
      </c>
    </row>
    <row r="286" spans="1:10" x14ac:dyDescent="0.35">
      <c r="A286">
        <v>278</v>
      </c>
      <c r="B286">
        <v>787.38367637138981</v>
      </c>
      <c r="C286">
        <v>278</v>
      </c>
      <c r="D286">
        <v>703.36241283281049</v>
      </c>
      <c r="E286">
        <v>278</v>
      </c>
      <c r="F286">
        <v>19.016964694413979</v>
      </c>
      <c r="G286">
        <v>278</v>
      </c>
      <c r="H286">
        <v>459.46845232244021</v>
      </c>
      <c r="I286">
        <v>278</v>
      </c>
      <c r="J286">
        <v>-37.085251893563793</v>
      </c>
    </row>
    <row r="287" spans="1:10" x14ac:dyDescent="0.35">
      <c r="A287">
        <v>279</v>
      </c>
      <c r="B287">
        <v>573.71787877491818</v>
      </c>
      <c r="C287">
        <v>279</v>
      </c>
      <c r="D287">
        <v>774.92601035289772</v>
      </c>
      <c r="E287">
        <v>279</v>
      </c>
      <c r="F287">
        <v>-11.727019382320663</v>
      </c>
      <c r="G287">
        <v>279</v>
      </c>
      <c r="H287">
        <v>598.27643980855419</v>
      </c>
      <c r="I287">
        <v>279</v>
      </c>
      <c r="J287">
        <v>-502.72471684682267</v>
      </c>
    </row>
    <row r="288" spans="1:10" x14ac:dyDescent="0.35">
      <c r="A288">
        <v>280</v>
      </c>
      <c r="B288">
        <v>305.60822409190308</v>
      </c>
      <c r="C288">
        <v>280</v>
      </c>
      <c r="D288">
        <v>537.24843654680819</v>
      </c>
      <c r="E288">
        <v>280</v>
      </c>
      <c r="F288">
        <v>243.06100384569064</v>
      </c>
      <c r="G288">
        <v>280</v>
      </c>
      <c r="H288">
        <v>803.75595554184656</v>
      </c>
      <c r="I288">
        <v>280</v>
      </c>
      <c r="J288">
        <v>-862.12443675098075</v>
      </c>
    </row>
    <row r="289" spans="1:10" x14ac:dyDescent="0.35">
      <c r="A289">
        <v>281</v>
      </c>
      <c r="B289">
        <v>847.07159521310655</v>
      </c>
      <c r="C289">
        <v>281</v>
      </c>
      <c r="D289">
        <v>441.03720615886704</v>
      </c>
      <c r="E289">
        <v>281</v>
      </c>
      <c r="F289">
        <v>218.81167047745413</v>
      </c>
      <c r="G289">
        <v>281</v>
      </c>
      <c r="H289">
        <v>824.03348940196588</v>
      </c>
      <c r="I289">
        <v>281</v>
      </c>
      <c r="J289">
        <v>-568.15335636324119</v>
      </c>
    </row>
    <row r="290" spans="1:10" x14ac:dyDescent="0.35">
      <c r="A290">
        <v>282</v>
      </c>
      <c r="B290">
        <v>916.79273872932527</v>
      </c>
      <c r="C290">
        <v>282</v>
      </c>
      <c r="D290">
        <v>607.9452946064672</v>
      </c>
      <c r="E290">
        <v>282</v>
      </c>
      <c r="F290">
        <v>395.69331083403398</v>
      </c>
      <c r="G290">
        <v>282</v>
      </c>
      <c r="H290">
        <v>587.01668467733111</v>
      </c>
      <c r="I290">
        <v>282</v>
      </c>
      <c r="J290">
        <v>-390.80918972920074</v>
      </c>
    </row>
    <row r="291" spans="1:10" x14ac:dyDescent="0.35">
      <c r="A291">
        <v>283</v>
      </c>
      <c r="B291">
        <v>772.85533434638421</v>
      </c>
      <c r="C291">
        <v>283</v>
      </c>
      <c r="D291">
        <v>353.92499562675783</v>
      </c>
      <c r="E291">
        <v>283</v>
      </c>
      <c r="F291">
        <v>-79.661828274911585</v>
      </c>
      <c r="G291">
        <v>283</v>
      </c>
      <c r="H291">
        <v>236.46103187912681</v>
      </c>
      <c r="I291">
        <v>283</v>
      </c>
      <c r="J291">
        <v>-480.6861501666134</v>
      </c>
    </row>
    <row r="292" spans="1:10" x14ac:dyDescent="0.35">
      <c r="A292">
        <v>284</v>
      </c>
      <c r="B292">
        <v>673.2492076261708</v>
      </c>
      <c r="C292">
        <v>284</v>
      </c>
      <c r="D292">
        <v>919.93920136836027</v>
      </c>
      <c r="E292">
        <v>284</v>
      </c>
      <c r="F292">
        <v>-13.787060955276942</v>
      </c>
      <c r="G292">
        <v>284</v>
      </c>
      <c r="H292">
        <v>627.5939682677872</v>
      </c>
      <c r="I292">
        <v>284</v>
      </c>
      <c r="J292">
        <v>-265.36282588190375</v>
      </c>
    </row>
    <row r="293" spans="1:10" x14ac:dyDescent="0.35">
      <c r="A293">
        <v>285</v>
      </c>
      <c r="B293">
        <v>1070.5307964060157</v>
      </c>
      <c r="C293">
        <v>285</v>
      </c>
      <c r="D293">
        <v>697.90941280234733</v>
      </c>
      <c r="E293">
        <v>285</v>
      </c>
      <c r="F293">
        <v>445.09977938508649</v>
      </c>
      <c r="G293">
        <v>285</v>
      </c>
      <c r="H293">
        <v>-75.130704560726883</v>
      </c>
      <c r="I293">
        <v>285</v>
      </c>
      <c r="J293">
        <v>-391.58376959460259</v>
      </c>
    </row>
    <row r="294" spans="1:10" x14ac:dyDescent="0.35">
      <c r="A294">
        <v>286</v>
      </c>
      <c r="B294">
        <v>921.8812073683921</v>
      </c>
      <c r="C294">
        <v>286</v>
      </c>
      <c r="D294">
        <v>574.14660180048122</v>
      </c>
      <c r="E294">
        <v>286</v>
      </c>
      <c r="F294">
        <v>245.40890563326977</v>
      </c>
      <c r="G294">
        <v>286</v>
      </c>
      <c r="H294">
        <v>196.76513688564847</v>
      </c>
      <c r="I294">
        <v>286</v>
      </c>
      <c r="J294">
        <v>-254.26502137663263</v>
      </c>
    </row>
    <row r="295" spans="1:10" x14ac:dyDescent="0.35">
      <c r="A295">
        <v>287</v>
      </c>
      <c r="B295">
        <v>696.61723665360921</v>
      </c>
      <c r="C295">
        <v>287</v>
      </c>
      <c r="D295">
        <v>500.99865976810463</v>
      </c>
      <c r="E295">
        <v>287</v>
      </c>
      <c r="F295">
        <v>138.1491952575314</v>
      </c>
      <c r="G295">
        <v>287</v>
      </c>
      <c r="H295">
        <v>665.44794817321747</v>
      </c>
      <c r="I295">
        <v>287</v>
      </c>
      <c r="J295">
        <v>-510.8288236756589</v>
      </c>
    </row>
    <row r="296" spans="1:10" x14ac:dyDescent="0.35">
      <c r="A296">
        <v>288</v>
      </c>
      <c r="B296">
        <v>292.9049888876624</v>
      </c>
      <c r="C296">
        <v>288</v>
      </c>
      <c r="D296">
        <v>693.64742087368393</v>
      </c>
      <c r="E296">
        <v>288</v>
      </c>
      <c r="F296">
        <v>328.41464695273089</v>
      </c>
      <c r="G296">
        <v>288</v>
      </c>
      <c r="H296">
        <v>724.9053746852934</v>
      </c>
      <c r="I296">
        <v>288</v>
      </c>
      <c r="J296">
        <v>-376.16246201590673</v>
      </c>
    </row>
    <row r="297" spans="1:10" x14ac:dyDescent="0.35">
      <c r="A297">
        <v>289</v>
      </c>
      <c r="B297">
        <v>653.82362457404213</v>
      </c>
      <c r="C297">
        <v>289</v>
      </c>
      <c r="D297">
        <v>537.51675948330853</v>
      </c>
      <c r="E297">
        <v>289</v>
      </c>
      <c r="F297">
        <v>97.131325596375476</v>
      </c>
      <c r="G297">
        <v>289</v>
      </c>
      <c r="H297">
        <v>82.50302589691421</v>
      </c>
      <c r="I297">
        <v>289</v>
      </c>
      <c r="J297">
        <v>-330.56811710343271</v>
      </c>
    </row>
    <row r="298" spans="1:10" x14ac:dyDescent="0.35">
      <c r="A298">
        <v>290</v>
      </c>
      <c r="B298">
        <v>298.04968871339037</v>
      </c>
      <c r="C298">
        <v>290</v>
      </c>
      <c r="D298">
        <v>512.79414174456497</v>
      </c>
      <c r="E298">
        <v>290</v>
      </c>
      <c r="F298">
        <v>396.45420878405605</v>
      </c>
      <c r="G298">
        <v>290</v>
      </c>
      <c r="H298">
        <v>342.1464568345707</v>
      </c>
      <c r="I298">
        <v>290</v>
      </c>
      <c r="J298">
        <v>-302.86238683565568</v>
      </c>
    </row>
    <row r="299" spans="1:10" x14ac:dyDescent="0.35">
      <c r="A299">
        <v>291</v>
      </c>
      <c r="B299">
        <v>759.58435451374794</v>
      </c>
      <c r="C299">
        <v>291</v>
      </c>
      <c r="D299">
        <v>832.7633655441773</v>
      </c>
      <c r="E299">
        <v>291</v>
      </c>
      <c r="F299">
        <v>476.90009139306051</v>
      </c>
      <c r="G299">
        <v>291</v>
      </c>
      <c r="H299">
        <v>789.75604740135464</v>
      </c>
      <c r="I299">
        <v>291</v>
      </c>
      <c r="J299">
        <v>-549.85486780698068</v>
      </c>
    </row>
    <row r="300" spans="1:10" x14ac:dyDescent="0.35">
      <c r="A300">
        <v>292</v>
      </c>
      <c r="B300">
        <v>306.37714275935349</v>
      </c>
      <c r="C300">
        <v>292</v>
      </c>
      <c r="D300">
        <v>836.91038829587637</v>
      </c>
      <c r="E300">
        <v>292</v>
      </c>
      <c r="F300">
        <v>-93.853880029327655</v>
      </c>
      <c r="G300">
        <v>292</v>
      </c>
      <c r="H300">
        <v>601.64440417270509</v>
      </c>
      <c r="I300">
        <v>292</v>
      </c>
      <c r="J300">
        <v>-156.28701221415173</v>
      </c>
    </row>
    <row r="301" spans="1:10" x14ac:dyDescent="0.35">
      <c r="A301">
        <v>293</v>
      </c>
      <c r="B301">
        <v>546.2526432471484</v>
      </c>
      <c r="C301">
        <v>293</v>
      </c>
      <c r="D301">
        <v>363.99746813810185</v>
      </c>
      <c r="E301">
        <v>293</v>
      </c>
      <c r="F301">
        <v>288.69902078152415</v>
      </c>
      <c r="G301">
        <v>293</v>
      </c>
      <c r="H301">
        <v>434.24170453220819</v>
      </c>
      <c r="I301">
        <v>293</v>
      </c>
      <c r="J301">
        <v>377.87757663764273</v>
      </c>
    </row>
    <row r="302" spans="1:10" x14ac:dyDescent="0.35">
      <c r="A302">
        <v>294</v>
      </c>
      <c r="B302">
        <v>914.80719770264841</v>
      </c>
      <c r="C302">
        <v>294</v>
      </c>
      <c r="D302">
        <v>636.82797328108313</v>
      </c>
      <c r="E302">
        <v>294</v>
      </c>
      <c r="F302">
        <v>-215.89394256363465</v>
      </c>
      <c r="G302">
        <v>294</v>
      </c>
      <c r="H302">
        <v>252.80905667979741</v>
      </c>
      <c r="I302">
        <v>294</v>
      </c>
      <c r="J302">
        <v>-118.07613063034009</v>
      </c>
    </row>
    <row r="303" spans="1:10" x14ac:dyDescent="0.35">
      <c r="A303">
        <v>295</v>
      </c>
      <c r="B303">
        <v>585.27106146037818</v>
      </c>
      <c r="C303">
        <v>295</v>
      </c>
      <c r="D303">
        <v>678.58575561727127</v>
      </c>
      <c r="E303">
        <v>295</v>
      </c>
      <c r="F303">
        <v>99.436690634513198</v>
      </c>
      <c r="G303">
        <v>295</v>
      </c>
      <c r="H303">
        <v>380.80706905330703</v>
      </c>
      <c r="I303">
        <v>295</v>
      </c>
      <c r="J303">
        <v>-303.77860110292966</v>
      </c>
    </row>
    <row r="304" spans="1:10" x14ac:dyDescent="0.35">
      <c r="A304">
        <v>296</v>
      </c>
      <c r="B304">
        <v>698.28802489337625</v>
      </c>
      <c r="C304">
        <v>296</v>
      </c>
      <c r="D304">
        <v>555.11001867904633</v>
      </c>
      <c r="E304">
        <v>296</v>
      </c>
      <c r="F304">
        <v>-86.980033777197406</v>
      </c>
      <c r="G304">
        <v>296</v>
      </c>
      <c r="H304">
        <v>969.38534496864315</v>
      </c>
      <c r="I304">
        <v>296</v>
      </c>
      <c r="J304">
        <v>-784.37795347312351</v>
      </c>
    </row>
    <row r="305" spans="1:10" x14ac:dyDescent="0.35">
      <c r="A305">
        <v>297</v>
      </c>
      <c r="B305">
        <v>1109.8894828102927</v>
      </c>
      <c r="C305">
        <v>297</v>
      </c>
      <c r="D305">
        <v>525.69702288841575</v>
      </c>
      <c r="E305">
        <v>297</v>
      </c>
      <c r="F305">
        <v>13.849936431752134</v>
      </c>
      <c r="G305">
        <v>297</v>
      </c>
      <c r="H305">
        <v>694.99172287121314</v>
      </c>
      <c r="I305">
        <v>297</v>
      </c>
      <c r="J305">
        <v>-154.34496580999379</v>
      </c>
    </row>
    <row r="306" spans="1:10" x14ac:dyDescent="0.35">
      <c r="A306">
        <v>298</v>
      </c>
      <c r="B306">
        <v>709.7722755202924</v>
      </c>
      <c r="C306">
        <v>298</v>
      </c>
      <c r="D306">
        <v>877.53578031209645</v>
      </c>
      <c r="E306">
        <v>298</v>
      </c>
      <c r="F306">
        <v>72.151104520972424</v>
      </c>
      <c r="G306">
        <v>298</v>
      </c>
      <c r="H306">
        <v>-132.59017295607629</v>
      </c>
      <c r="I306">
        <v>298</v>
      </c>
      <c r="J306">
        <v>-97.202400886302172</v>
      </c>
    </row>
    <row r="307" spans="1:10" x14ac:dyDescent="0.35">
      <c r="A307">
        <v>299</v>
      </c>
      <c r="B307">
        <v>732.99132728159202</v>
      </c>
      <c r="C307">
        <v>299</v>
      </c>
      <c r="D307">
        <v>592.12138838525334</v>
      </c>
      <c r="E307">
        <v>299</v>
      </c>
      <c r="F307">
        <v>-64.81154957404803</v>
      </c>
      <c r="G307">
        <v>299</v>
      </c>
      <c r="H307">
        <v>1004.878697628656</v>
      </c>
      <c r="I307">
        <v>299</v>
      </c>
      <c r="J307">
        <v>-67.761455540645642</v>
      </c>
    </row>
    <row r="308" spans="1:10" x14ac:dyDescent="0.35">
      <c r="A308">
        <v>300</v>
      </c>
      <c r="B308">
        <v>831.55967099263853</v>
      </c>
      <c r="C308">
        <v>300</v>
      </c>
      <c r="D308">
        <v>637.86395982048634</v>
      </c>
      <c r="E308">
        <v>300</v>
      </c>
      <c r="F308">
        <v>190.4292158381194</v>
      </c>
      <c r="G308">
        <v>300</v>
      </c>
      <c r="H308">
        <v>39.315621023130348</v>
      </c>
      <c r="I308">
        <v>300</v>
      </c>
      <c r="J308">
        <v>-698.31612405368662</v>
      </c>
    </row>
    <row r="309" spans="1:10" x14ac:dyDescent="0.35">
      <c r="A309">
        <v>301</v>
      </c>
      <c r="B309">
        <v>370.27334599662032</v>
      </c>
      <c r="C309">
        <v>301</v>
      </c>
      <c r="D309">
        <v>552.09788099892478</v>
      </c>
      <c r="E309">
        <v>301</v>
      </c>
      <c r="F309">
        <v>46.835848420034239</v>
      </c>
      <c r="G309">
        <v>301</v>
      </c>
      <c r="H309">
        <v>497.59450405665677</v>
      </c>
      <c r="I309">
        <v>301</v>
      </c>
      <c r="J309">
        <v>7.1171952306382025</v>
      </c>
    </row>
    <row r="310" spans="1:10" x14ac:dyDescent="0.35">
      <c r="A310">
        <v>302</v>
      </c>
      <c r="B310">
        <v>580.71322908911225</v>
      </c>
      <c r="C310">
        <v>302</v>
      </c>
      <c r="D310">
        <v>922.54858386952117</v>
      </c>
      <c r="E310">
        <v>302</v>
      </c>
      <c r="F310">
        <v>155.67669754235783</v>
      </c>
      <c r="G310">
        <v>302</v>
      </c>
      <c r="H310">
        <v>898.6310534543004</v>
      </c>
      <c r="I310">
        <v>302</v>
      </c>
      <c r="J310">
        <v>288.67425040981703</v>
      </c>
    </row>
    <row r="311" spans="1:10" x14ac:dyDescent="0.35">
      <c r="A311">
        <v>303</v>
      </c>
      <c r="B311">
        <v>635.7745927781524</v>
      </c>
      <c r="C311">
        <v>303</v>
      </c>
      <c r="D311">
        <v>554.50261493119183</v>
      </c>
      <c r="E311">
        <v>303</v>
      </c>
      <c r="F311">
        <v>-222.10953897039622</v>
      </c>
      <c r="G311">
        <v>303</v>
      </c>
      <c r="H311">
        <v>648.7627745723612</v>
      </c>
      <c r="I311">
        <v>303</v>
      </c>
      <c r="J311">
        <v>-250.58746163718465</v>
      </c>
    </row>
    <row r="312" spans="1:10" x14ac:dyDescent="0.35">
      <c r="A312">
        <v>304</v>
      </c>
      <c r="B312">
        <v>948.06557311480378</v>
      </c>
      <c r="C312">
        <v>304</v>
      </c>
      <c r="D312">
        <v>745.11207188223784</v>
      </c>
      <c r="E312">
        <v>304</v>
      </c>
      <c r="F312">
        <v>161.24793925036141</v>
      </c>
      <c r="G312">
        <v>304</v>
      </c>
      <c r="H312">
        <v>-248.16567422552038</v>
      </c>
      <c r="I312">
        <v>304</v>
      </c>
      <c r="J312">
        <v>-511.39726607479946</v>
      </c>
    </row>
    <row r="313" spans="1:10" x14ac:dyDescent="0.35">
      <c r="A313">
        <v>305</v>
      </c>
      <c r="B313">
        <v>801.67226202382074</v>
      </c>
      <c r="C313">
        <v>305</v>
      </c>
      <c r="D313">
        <v>707.24586370589998</v>
      </c>
      <c r="E313">
        <v>305</v>
      </c>
      <c r="F313">
        <v>-72.893130506385717</v>
      </c>
      <c r="G313">
        <v>305</v>
      </c>
      <c r="H313">
        <v>252.51609895381938</v>
      </c>
      <c r="I313">
        <v>305</v>
      </c>
      <c r="J313">
        <v>-18.974738771109145</v>
      </c>
    </row>
    <row r="314" spans="1:10" x14ac:dyDescent="0.35">
      <c r="A314">
        <v>306</v>
      </c>
      <c r="B314">
        <v>418.38667945270214</v>
      </c>
      <c r="C314">
        <v>306</v>
      </c>
      <c r="D314">
        <v>530.11606629076175</v>
      </c>
      <c r="E314">
        <v>306</v>
      </c>
      <c r="F314">
        <v>188.10730749964927</v>
      </c>
      <c r="G314">
        <v>306</v>
      </c>
      <c r="H314">
        <v>718.18849711496375</v>
      </c>
      <c r="I314">
        <v>306</v>
      </c>
      <c r="J314">
        <v>-190.51534844607795</v>
      </c>
    </row>
    <row r="315" spans="1:10" x14ac:dyDescent="0.35">
      <c r="A315">
        <v>307</v>
      </c>
      <c r="B315">
        <v>893.75726781074695</v>
      </c>
      <c r="C315">
        <v>307</v>
      </c>
      <c r="D315">
        <v>776.88986750993104</v>
      </c>
      <c r="E315">
        <v>307</v>
      </c>
      <c r="F315">
        <v>243.13311537885926</v>
      </c>
      <c r="G315">
        <v>307</v>
      </c>
      <c r="H315">
        <v>689.30200875104538</v>
      </c>
      <c r="I315">
        <v>307</v>
      </c>
      <c r="J315">
        <v>60.609739933979426</v>
      </c>
    </row>
    <row r="316" spans="1:10" x14ac:dyDescent="0.35">
      <c r="A316">
        <v>308</v>
      </c>
      <c r="B316">
        <v>529.98056805601357</v>
      </c>
      <c r="C316">
        <v>308</v>
      </c>
      <c r="D316">
        <v>485.79626432016676</v>
      </c>
      <c r="E316">
        <v>308</v>
      </c>
      <c r="F316">
        <v>42.202090799082768</v>
      </c>
      <c r="G316">
        <v>308</v>
      </c>
      <c r="H316">
        <v>349.22087037135361</v>
      </c>
      <c r="I316">
        <v>308</v>
      </c>
      <c r="J316">
        <v>-275.07845229922646</v>
      </c>
    </row>
    <row r="317" spans="1:10" x14ac:dyDescent="0.35">
      <c r="A317">
        <v>309</v>
      </c>
      <c r="B317">
        <v>328.59537476136285</v>
      </c>
      <c r="C317">
        <v>309</v>
      </c>
      <c r="D317">
        <v>382.44493203812169</v>
      </c>
      <c r="E317">
        <v>309</v>
      </c>
      <c r="F317">
        <v>-199.92102076104709</v>
      </c>
      <c r="G317">
        <v>309</v>
      </c>
      <c r="H317">
        <v>492.49740515274965</v>
      </c>
      <c r="I317">
        <v>309</v>
      </c>
      <c r="J317">
        <v>-748.9191876235875</v>
      </c>
    </row>
    <row r="318" spans="1:10" x14ac:dyDescent="0.35">
      <c r="A318">
        <v>310</v>
      </c>
      <c r="B318">
        <v>552.24905415781677</v>
      </c>
      <c r="C318">
        <v>310</v>
      </c>
      <c r="D318">
        <v>636.76688610081032</v>
      </c>
      <c r="E318">
        <v>310</v>
      </c>
      <c r="F318">
        <v>-372.21879487254057</v>
      </c>
      <c r="G318">
        <v>310</v>
      </c>
      <c r="H318">
        <v>473.11829341009366</v>
      </c>
      <c r="I318">
        <v>310</v>
      </c>
      <c r="J318">
        <v>18.057837661545364</v>
      </c>
    </row>
    <row r="319" spans="1:10" x14ac:dyDescent="0.35">
      <c r="A319">
        <v>311</v>
      </c>
      <c r="B319">
        <v>695.83748982276211</v>
      </c>
      <c r="C319">
        <v>311</v>
      </c>
      <c r="D319">
        <v>1019.8562418190253</v>
      </c>
      <c r="E319">
        <v>311</v>
      </c>
      <c r="F319">
        <v>-276.7988643051973</v>
      </c>
      <c r="G319">
        <v>311</v>
      </c>
      <c r="H319">
        <v>537.93549600399137</v>
      </c>
      <c r="I319">
        <v>311</v>
      </c>
      <c r="J319">
        <v>-488.1580995809278</v>
      </c>
    </row>
    <row r="320" spans="1:10" x14ac:dyDescent="0.35">
      <c r="A320">
        <v>312</v>
      </c>
      <c r="B320">
        <v>572.06513668568186</v>
      </c>
      <c r="C320">
        <v>312</v>
      </c>
      <c r="D320">
        <v>774.27733825536609</v>
      </c>
      <c r="E320">
        <v>312</v>
      </c>
      <c r="F320">
        <v>-11.971827506127326</v>
      </c>
      <c r="G320">
        <v>312</v>
      </c>
      <c r="H320">
        <v>409.17043292636674</v>
      </c>
      <c r="I320">
        <v>312</v>
      </c>
      <c r="J320">
        <v>539.93533661942593</v>
      </c>
    </row>
    <row r="321" spans="1:10" x14ac:dyDescent="0.35">
      <c r="A321">
        <v>313</v>
      </c>
      <c r="B321">
        <v>934.94626548184544</v>
      </c>
      <c r="C321">
        <v>313</v>
      </c>
      <c r="D321">
        <v>787.13585959381794</v>
      </c>
      <c r="E321">
        <v>313</v>
      </c>
      <c r="F321">
        <v>513.83983037858252</v>
      </c>
      <c r="G321">
        <v>313</v>
      </c>
      <c r="H321">
        <v>-80.51619705409945</v>
      </c>
      <c r="I321">
        <v>313</v>
      </c>
      <c r="J321">
        <v>-390.91274182327163</v>
      </c>
    </row>
    <row r="322" spans="1:10" x14ac:dyDescent="0.35">
      <c r="A322">
        <v>314</v>
      </c>
      <c r="B322">
        <v>766.70087321023948</v>
      </c>
      <c r="C322">
        <v>314</v>
      </c>
      <c r="D322">
        <v>883.15860797988057</v>
      </c>
      <c r="E322">
        <v>314</v>
      </c>
      <c r="F322">
        <v>-228.95759636752899</v>
      </c>
      <c r="G322">
        <v>314</v>
      </c>
      <c r="H322">
        <v>197.34756112163694</v>
      </c>
      <c r="I322">
        <v>314</v>
      </c>
      <c r="J322">
        <v>-159.3142282652928</v>
      </c>
    </row>
    <row r="323" spans="1:10" x14ac:dyDescent="0.35">
      <c r="A323">
        <v>315</v>
      </c>
      <c r="B323">
        <v>564.54382192591788</v>
      </c>
      <c r="C323">
        <v>315</v>
      </c>
      <c r="D323">
        <v>641.04436079595439</v>
      </c>
      <c r="E323">
        <v>315</v>
      </c>
      <c r="F323">
        <v>-29.00963308542984</v>
      </c>
      <c r="G323">
        <v>315</v>
      </c>
      <c r="H323">
        <v>964.58595670526142</v>
      </c>
      <c r="I323">
        <v>315</v>
      </c>
      <c r="J323">
        <v>-733.52979060342511</v>
      </c>
    </row>
    <row r="324" spans="1:10" x14ac:dyDescent="0.35">
      <c r="A324">
        <v>316</v>
      </c>
      <c r="B324">
        <v>587.01926720198708</v>
      </c>
      <c r="C324">
        <v>316</v>
      </c>
      <c r="D324">
        <v>694.96845095927256</v>
      </c>
      <c r="E324">
        <v>316</v>
      </c>
      <c r="F324">
        <v>-38.995085840080392</v>
      </c>
      <c r="G324">
        <v>316</v>
      </c>
      <c r="H324">
        <v>850.65742368294423</v>
      </c>
      <c r="I324">
        <v>316</v>
      </c>
      <c r="J324">
        <v>337.84763627238613</v>
      </c>
    </row>
    <row r="325" spans="1:10" x14ac:dyDescent="0.35">
      <c r="A325">
        <v>317</v>
      </c>
      <c r="B325">
        <v>653.68946638750913</v>
      </c>
      <c r="C325">
        <v>317</v>
      </c>
      <c r="D325">
        <v>542.60451036050802</v>
      </c>
      <c r="E325">
        <v>317</v>
      </c>
      <c r="F325">
        <v>683.16003574282684</v>
      </c>
      <c r="G325">
        <v>317</v>
      </c>
      <c r="H325">
        <v>-62.490024914092885</v>
      </c>
      <c r="I325">
        <v>317</v>
      </c>
      <c r="J325">
        <v>-284.51711263222489</v>
      </c>
    </row>
    <row r="326" spans="1:10" x14ac:dyDescent="0.35">
      <c r="A326">
        <v>318</v>
      </c>
      <c r="B326">
        <v>801.49243326434782</v>
      </c>
      <c r="C326">
        <v>318</v>
      </c>
      <c r="D326">
        <v>990.06866535978702</v>
      </c>
      <c r="E326">
        <v>318</v>
      </c>
      <c r="F326">
        <v>39.262532312133757</v>
      </c>
      <c r="G326">
        <v>318</v>
      </c>
      <c r="H326">
        <v>780.78007894144025</v>
      </c>
      <c r="I326">
        <v>318</v>
      </c>
      <c r="J326">
        <v>-449.49843574373944</v>
      </c>
    </row>
    <row r="327" spans="1:10" x14ac:dyDescent="0.35">
      <c r="A327">
        <v>319</v>
      </c>
      <c r="B327">
        <v>318.74607406836662</v>
      </c>
      <c r="C327">
        <v>319</v>
      </c>
      <c r="D327">
        <v>573.58142457083511</v>
      </c>
      <c r="E327">
        <v>319</v>
      </c>
      <c r="F327">
        <v>-195.58848467303699</v>
      </c>
      <c r="G327">
        <v>319</v>
      </c>
      <c r="H327">
        <v>269.50449215322476</v>
      </c>
      <c r="I327">
        <v>319</v>
      </c>
      <c r="J327">
        <v>230.08484684616991</v>
      </c>
    </row>
    <row r="328" spans="1:10" x14ac:dyDescent="0.35">
      <c r="A328">
        <v>320</v>
      </c>
      <c r="B328">
        <v>-17.68646103608387</v>
      </c>
      <c r="C328">
        <v>320</v>
      </c>
      <c r="D328">
        <v>441.21776634731771</v>
      </c>
      <c r="E328">
        <v>320</v>
      </c>
      <c r="F328">
        <v>-251.39407733083988</v>
      </c>
      <c r="G328">
        <v>320</v>
      </c>
      <c r="H328">
        <v>926.2559011906626</v>
      </c>
      <c r="I328">
        <v>320</v>
      </c>
      <c r="J328">
        <v>-176.2954197344325</v>
      </c>
    </row>
    <row r="329" spans="1:10" x14ac:dyDescent="0.35">
      <c r="A329">
        <v>321</v>
      </c>
      <c r="B329">
        <v>699.64677218959434</v>
      </c>
      <c r="C329">
        <v>321</v>
      </c>
      <c r="D329">
        <v>720.97985554179263</v>
      </c>
      <c r="E329">
        <v>321</v>
      </c>
      <c r="F329">
        <v>240.75495298465117</v>
      </c>
      <c r="G329">
        <v>321</v>
      </c>
      <c r="H329">
        <v>575.68307162275892</v>
      </c>
      <c r="I329">
        <v>321</v>
      </c>
      <c r="J329">
        <v>72.634820945008983</v>
      </c>
    </row>
    <row r="330" spans="1:10" x14ac:dyDescent="0.35">
      <c r="A330">
        <v>322</v>
      </c>
      <c r="B330">
        <v>709.49474977380692</v>
      </c>
      <c r="C330">
        <v>322</v>
      </c>
      <c r="D330">
        <v>699.9550942222811</v>
      </c>
      <c r="E330">
        <v>322</v>
      </c>
      <c r="F330">
        <v>464.77594410991566</v>
      </c>
      <c r="G330">
        <v>322</v>
      </c>
      <c r="H330">
        <v>-167.58551118746863</v>
      </c>
      <c r="I330">
        <v>322</v>
      </c>
      <c r="J330">
        <v>-373.38547397893029</v>
      </c>
    </row>
    <row r="331" spans="1:10" x14ac:dyDescent="0.35">
      <c r="A331">
        <v>323</v>
      </c>
      <c r="B331">
        <v>270.34779345070933</v>
      </c>
      <c r="C331">
        <v>323</v>
      </c>
      <c r="D331">
        <v>661.57148445456914</v>
      </c>
      <c r="E331">
        <v>323</v>
      </c>
      <c r="F331">
        <v>213.49491111077037</v>
      </c>
      <c r="G331">
        <v>323</v>
      </c>
      <c r="H331">
        <v>298.33913572369249</v>
      </c>
      <c r="I331">
        <v>323</v>
      </c>
      <c r="J331">
        <v>-488.86071946478643</v>
      </c>
    </row>
    <row r="332" spans="1:10" x14ac:dyDescent="0.35">
      <c r="A332">
        <v>324</v>
      </c>
      <c r="B332">
        <v>918.47963535616509</v>
      </c>
      <c r="C332">
        <v>324</v>
      </c>
      <c r="D332">
        <v>537.68583176482207</v>
      </c>
      <c r="E332">
        <v>324</v>
      </c>
      <c r="F332">
        <v>-139.96587034218882</v>
      </c>
      <c r="G332">
        <v>324</v>
      </c>
      <c r="H332">
        <v>1113.8065628473082</v>
      </c>
      <c r="I332">
        <v>324</v>
      </c>
      <c r="J332">
        <v>-101.80723286010942</v>
      </c>
    </row>
    <row r="333" spans="1:10" x14ac:dyDescent="0.35">
      <c r="A333">
        <v>325</v>
      </c>
      <c r="B333">
        <v>552.13391368128828</v>
      </c>
      <c r="C333">
        <v>325</v>
      </c>
      <c r="D333">
        <v>619.18575422136075</v>
      </c>
      <c r="E333">
        <v>325</v>
      </c>
      <c r="F333">
        <v>55.258113720142219</v>
      </c>
      <c r="G333">
        <v>325</v>
      </c>
      <c r="H333">
        <v>280.67756892181808</v>
      </c>
      <c r="I333">
        <v>325</v>
      </c>
      <c r="J333">
        <v>-76.92854528180527</v>
      </c>
    </row>
    <row r="334" spans="1:10" x14ac:dyDescent="0.35">
      <c r="A334">
        <v>326</v>
      </c>
      <c r="B334">
        <v>317.8505493205335</v>
      </c>
      <c r="C334">
        <v>326</v>
      </c>
      <c r="D334">
        <v>549.86597977118583</v>
      </c>
      <c r="E334">
        <v>326</v>
      </c>
      <c r="F334">
        <v>394.98058100810368</v>
      </c>
      <c r="G334">
        <v>326</v>
      </c>
      <c r="H334">
        <v>359.28888769971326</v>
      </c>
      <c r="I334">
        <v>326</v>
      </c>
      <c r="J334">
        <v>-451.58607982095782</v>
      </c>
    </row>
    <row r="335" spans="1:10" x14ac:dyDescent="0.35">
      <c r="A335">
        <v>327</v>
      </c>
      <c r="B335">
        <v>969.59679234209773</v>
      </c>
      <c r="C335">
        <v>327</v>
      </c>
      <c r="D335">
        <v>719.17568804100245</v>
      </c>
      <c r="E335">
        <v>327</v>
      </c>
      <c r="F335">
        <v>159.69982290131264</v>
      </c>
      <c r="G335">
        <v>327</v>
      </c>
      <c r="H335">
        <v>842.24223815150958</v>
      </c>
      <c r="I335">
        <v>327</v>
      </c>
      <c r="J335">
        <v>-78.838225870301642</v>
      </c>
    </row>
    <row r="336" spans="1:10" x14ac:dyDescent="0.35">
      <c r="A336">
        <v>328</v>
      </c>
      <c r="B336">
        <v>693.06640021717931</v>
      </c>
      <c r="C336">
        <v>328</v>
      </c>
      <c r="D336">
        <v>680.64105170327605</v>
      </c>
      <c r="E336">
        <v>328</v>
      </c>
      <c r="F336">
        <v>-236.64190836620321</v>
      </c>
      <c r="G336">
        <v>328</v>
      </c>
      <c r="H336">
        <v>258.21891051115585</v>
      </c>
      <c r="I336">
        <v>328</v>
      </c>
      <c r="J336">
        <v>-694.4120081477131</v>
      </c>
    </row>
    <row r="337" spans="1:10" x14ac:dyDescent="0.35">
      <c r="A337">
        <v>329</v>
      </c>
      <c r="B337">
        <v>256.21525564284423</v>
      </c>
      <c r="C337">
        <v>329</v>
      </c>
      <c r="D337">
        <v>778.85050193540405</v>
      </c>
      <c r="E337">
        <v>329</v>
      </c>
      <c r="F337">
        <v>-55.195781474868568</v>
      </c>
      <c r="G337">
        <v>329</v>
      </c>
      <c r="H337">
        <v>-133.43204652072512</v>
      </c>
      <c r="I337">
        <v>329</v>
      </c>
      <c r="J337">
        <v>-431.40385089727124</v>
      </c>
    </row>
    <row r="338" spans="1:10" x14ac:dyDescent="0.35">
      <c r="A338">
        <v>330</v>
      </c>
      <c r="B338">
        <v>472.64054880646722</v>
      </c>
      <c r="C338">
        <v>330</v>
      </c>
      <c r="D338">
        <v>605.94623947433831</v>
      </c>
      <c r="E338">
        <v>330</v>
      </c>
      <c r="F338">
        <v>166.27475610890986</v>
      </c>
      <c r="G338">
        <v>330</v>
      </c>
      <c r="H338">
        <v>519.45128053025189</v>
      </c>
      <c r="I338">
        <v>330</v>
      </c>
      <c r="J338">
        <v>-37.569221455486542</v>
      </c>
    </row>
    <row r="339" spans="1:10" x14ac:dyDescent="0.35">
      <c r="A339">
        <v>331</v>
      </c>
      <c r="B339">
        <v>651.81393197827413</v>
      </c>
      <c r="C339">
        <v>331</v>
      </c>
      <c r="D339">
        <v>688.66729182395773</v>
      </c>
      <c r="E339">
        <v>331</v>
      </c>
      <c r="F339">
        <v>-56.251884744809772</v>
      </c>
      <c r="G339">
        <v>331</v>
      </c>
      <c r="H339">
        <v>1034.0134631694634</v>
      </c>
      <c r="I339">
        <v>331</v>
      </c>
      <c r="J339">
        <v>187.8737865736922</v>
      </c>
    </row>
    <row r="340" spans="1:10" x14ac:dyDescent="0.35">
      <c r="A340">
        <v>332</v>
      </c>
      <c r="B340">
        <v>716.24610750448119</v>
      </c>
      <c r="C340">
        <v>332</v>
      </c>
      <c r="D340">
        <v>544.77959157480734</v>
      </c>
      <c r="E340">
        <v>332</v>
      </c>
      <c r="F340">
        <v>86.203034992055322</v>
      </c>
      <c r="G340">
        <v>332</v>
      </c>
      <c r="H340">
        <v>278.3533014340303</v>
      </c>
      <c r="I340">
        <v>332</v>
      </c>
      <c r="J340">
        <v>-105.96649208479933</v>
      </c>
    </row>
    <row r="341" spans="1:10" x14ac:dyDescent="0.35">
      <c r="A341">
        <v>333</v>
      </c>
      <c r="B341">
        <v>438.70956413946465</v>
      </c>
      <c r="C341">
        <v>333</v>
      </c>
      <c r="D341">
        <v>528.48898040067024</v>
      </c>
      <c r="E341">
        <v>333</v>
      </c>
      <c r="F341">
        <v>253.50486911412102</v>
      </c>
      <c r="G341">
        <v>333</v>
      </c>
      <c r="H341">
        <v>1219.454332127629</v>
      </c>
      <c r="I341">
        <v>333</v>
      </c>
      <c r="J341">
        <v>-281.4846115753358</v>
      </c>
    </row>
    <row r="342" spans="1:10" x14ac:dyDescent="0.35">
      <c r="A342">
        <v>334</v>
      </c>
      <c r="B342">
        <v>576.04327538152597</v>
      </c>
      <c r="C342">
        <v>334</v>
      </c>
      <c r="D342">
        <v>747.97293716569379</v>
      </c>
      <c r="E342">
        <v>334</v>
      </c>
      <c r="F342">
        <v>-58.488411234653228</v>
      </c>
      <c r="G342">
        <v>334</v>
      </c>
      <c r="H342">
        <v>732.77030309815859</v>
      </c>
      <c r="I342">
        <v>334</v>
      </c>
      <c r="J342">
        <v>76.377893815864184</v>
      </c>
    </row>
    <row r="343" spans="1:10" x14ac:dyDescent="0.35">
      <c r="A343">
        <v>335</v>
      </c>
      <c r="B343">
        <v>740.20770529545098</v>
      </c>
      <c r="C343">
        <v>335</v>
      </c>
      <c r="D343">
        <v>133.63122477430358</v>
      </c>
      <c r="E343">
        <v>335</v>
      </c>
      <c r="F343">
        <v>526.20971914841061</v>
      </c>
      <c r="G343">
        <v>335</v>
      </c>
      <c r="H343">
        <v>277.03974333955171</v>
      </c>
      <c r="I343">
        <v>335</v>
      </c>
      <c r="J343">
        <v>411.36213256659175</v>
      </c>
    </row>
    <row r="344" spans="1:10" x14ac:dyDescent="0.35">
      <c r="A344">
        <v>336</v>
      </c>
      <c r="B344">
        <v>840.56029314865782</v>
      </c>
      <c r="C344">
        <v>336</v>
      </c>
      <c r="D344">
        <v>751.77546891296788</v>
      </c>
      <c r="E344">
        <v>336</v>
      </c>
      <c r="F344">
        <v>134.51403405010598</v>
      </c>
      <c r="G344">
        <v>336</v>
      </c>
      <c r="H344">
        <v>886.28363679396557</v>
      </c>
      <c r="I344">
        <v>336</v>
      </c>
      <c r="J344">
        <v>-288.21731374557959</v>
      </c>
    </row>
    <row r="345" spans="1:10" x14ac:dyDescent="0.35">
      <c r="A345">
        <v>337</v>
      </c>
      <c r="B345">
        <v>733.51965028154677</v>
      </c>
      <c r="C345">
        <v>337</v>
      </c>
      <c r="D345">
        <v>728.30062143834596</v>
      </c>
      <c r="E345">
        <v>337</v>
      </c>
      <c r="F345">
        <v>-53.143712697133694</v>
      </c>
      <c r="G345">
        <v>337</v>
      </c>
      <c r="H345">
        <v>616.92558424887443</v>
      </c>
      <c r="I345">
        <v>337</v>
      </c>
      <c r="J345">
        <v>-314.47290746249047</v>
      </c>
    </row>
    <row r="346" spans="1:10" x14ac:dyDescent="0.35">
      <c r="A346">
        <v>338</v>
      </c>
      <c r="B346">
        <v>810.93198269946026</v>
      </c>
      <c r="C346">
        <v>338</v>
      </c>
      <c r="D346">
        <v>333.46055340830674</v>
      </c>
      <c r="E346">
        <v>338</v>
      </c>
      <c r="F346">
        <v>53.191217505340028</v>
      </c>
      <c r="G346">
        <v>338</v>
      </c>
      <c r="H346">
        <v>495.79569232536545</v>
      </c>
      <c r="I346">
        <v>338</v>
      </c>
      <c r="J346">
        <v>-473.62085794304318</v>
      </c>
    </row>
    <row r="347" spans="1:10" x14ac:dyDescent="0.35">
      <c r="A347">
        <v>339</v>
      </c>
      <c r="B347">
        <v>583.64449681088638</v>
      </c>
      <c r="C347">
        <v>339</v>
      </c>
      <c r="D347">
        <v>770.48400676106144</v>
      </c>
      <c r="E347">
        <v>339</v>
      </c>
      <c r="F347">
        <v>-90.522114570490118</v>
      </c>
      <c r="G347">
        <v>339</v>
      </c>
      <c r="H347">
        <v>569.88352960073121</v>
      </c>
      <c r="I347">
        <v>339</v>
      </c>
      <c r="J347">
        <v>-505.1648566531743</v>
      </c>
    </row>
    <row r="348" spans="1:10" x14ac:dyDescent="0.35">
      <c r="A348">
        <v>340</v>
      </c>
      <c r="B348">
        <v>426.85966432964346</v>
      </c>
      <c r="C348">
        <v>340</v>
      </c>
      <c r="D348">
        <v>688.69367999332951</v>
      </c>
      <c r="E348">
        <v>340</v>
      </c>
      <c r="F348">
        <v>22.41408638358957</v>
      </c>
      <c r="G348">
        <v>340</v>
      </c>
      <c r="H348">
        <v>629.60163359395017</v>
      </c>
      <c r="I348">
        <v>340</v>
      </c>
      <c r="J348">
        <v>-213.4362604737004</v>
      </c>
    </row>
    <row r="349" spans="1:10" x14ac:dyDescent="0.35">
      <c r="A349">
        <v>341</v>
      </c>
      <c r="B349">
        <v>684.20591804070546</v>
      </c>
      <c r="C349">
        <v>341</v>
      </c>
      <c r="D349">
        <v>471.41301154987997</v>
      </c>
      <c r="E349">
        <v>341</v>
      </c>
      <c r="F349">
        <v>10.129953316327445</v>
      </c>
      <c r="G349">
        <v>341</v>
      </c>
      <c r="H349">
        <v>-95.690922274991578</v>
      </c>
      <c r="I349">
        <v>341</v>
      </c>
      <c r="J349">
        <v>20.488017506014842</v>
      </c>
    </row>
    <row r="350" spans="1:10" x14ac:dyDescent="0.35">
      <c r="A350">
        <v>342</v>
      </c>
      <c r="B350">
        <v>408.10575507228157</v>
      </c>
      <c r="C350">
        <v>342</v>
      </c>
      <c r="D350">
        <v>369.49823157383605</v>
      </c>
      <c r="E350">
        <v>342</v>
      </c>
      <c r="F350">
        <v>221.52896498117934</v>
      </c>
      <c r="G350">
        <v>342</v>
      </c>
      <c r="H350">
        <v>806.34043080271704</v>
      </c>
      <c r="I350">
        <v>342</v>
      </c>
      <c r="J350">
        <v>-407.74083446992438</v>
      </c>
    </row>
    <row r="351" spans="1:10" x14ac:dyDescent="0.35">
      <c r="A351">
        <v>343</v>
      </c>
      <c r="B351">
        <v>562.72069520745049</v>
      </c>
      <c r="C351">
        <v>343</v>
      </c>
      <c r="D351">
        <v>324.2864351642545</v>
      </c>
      <c r="E351">
        <v>343</v>
      </c>
      <c r="F351">
        <v>-323.7293998206506</v>
      </c>
      <c r="G351">
        <v>343</v>
      </c>
      <c r="H351">
        <v>-116.41562150435215</v>
      </c>
      <c r="I351">
        <v>343</v>
      </c>
      <c r="J351">
        <v>-243.58212953443243</v>
      </c>
    </row>
    <row r="352" spans="1:10" x14ac:dyDescent="0.35">
      <c r="A352">
        <v>344</v>
      </c>
      <c r="B352">
        <v>896.14417887188256</v>
      </c>
      <c r="C352">
        <v>344</v>
      </c>
      <c r="D352">
        <v>535.60782154329695</v>
      </c>
      <c r="E352">
        <v>344</v>
      </c>
      <c r="F352">
        <v>41.788331257649858</v>
      </c>
      <c r="G352">
        <v>344</v>
      </c>
      <c r="H352">
        <v>507.01663081616198</v>
      </c>
      <c r="I352">
        <v>344</v>
      </c>
      <c r="J352">
        <v>-537.35123313149347</v>
      </c>
    </row>
    <row r="353" spans="1:10" x14ac:dyDescent="0.35">
      <c r="A353">
        <v>345</v>
      </c>
      <c r="B353">
        <v>991.35068781408359</v>
      </c>
      <c r="C353">
        <v>345</v>
      </c>
      <c r="D353">
        <v>778.42400470902862</v>
      </c>
      <c r="E353">
        <v>345</v>
      </c>
      <c r="F353">
        <v>-76.282939066620941</v>
      </c>
      <c r="G353">
        <v>345</v>
      </c>
      <c r="H353">
        <v>812.08230136858083</v>
      </c>
      <c r="I353">
        <v>345</v>
      </c>
      <c r="J353">
        <v>-258.63775206055152</v>
      </c>
    </row>
    <row r="354" spans="1:10" x14ac:dyDescent="0.35">
      <c r="A354">
        <v>346</v>
      </c>
      <c r="B354">
        <v>739.22424451592042</v>
      </c>
      <c r="C354">
        <v>346</v>
      </c>
      <c r="D354">
        <v>189.51153521322198</v>
      </c>
      <c r="E354">
        <v>346</v>
      </c>
      <c r="F354">
        <v>262.7718308512566</v>
      </c>
      <c r="G354">
        <v>346</v>
      </c>
      <c r="H354">
        <v>313.96026357348535</v>
      </c>
      <c r="I354">
        <v>346</v>
      </c>
      <c r="J354">
        <v>-468.04589115928133</v>
      </c>
    </row>
    <row r="355" spans="1:10" x14ac:dyDescent="0.35">
      <c r="A355">
        <v>347</v>
      </c>
      <c r="B355">
        <v>408.41164967866678</v>
      </c>
      <c r="C355">
        <v>347</v>
      </c>
      <c r="D355">
        <v>631.69675307524221</v>
      </c>
      <c r="E355">
        <v>347</v>
      </c>
      <c r="F355">
        <v>5.5123684314376931</v>
      </c>
      <c r="G355">
        <v>347</v>
      </c>
      <c r="H355">
        <v>1024.4122078000867</v>
      </c>
      <c r="I355">
        <v>347</v>
      </c>
      <c r="J355">
        <v>-437.7965001000897</v>
      </c>
    </row>
    <row r="356" spans="1:10" x14ac:dyDescent="0.35">
      <c r="A356">
        <v>348</v>
      </c>
      <c r="B356">
        <v>655.68294576840447</v>
      </c>
      <c r="C356">
        <v>348</v>
      </c>
      <c r="D356">
        <v>982.71412499400594</v>
      </c>
      <c r="E356">
        <v>348</v>
      </c>
      <c r="F356">
        <v>202.05991500676396</v>
      </c>
      <c r="G356">
        <v>348</v>
      </c>
      <c r="H356">
        <v>769.77598624164057</v>
      </c>
      <c r="I356">
        <v>348</v>
      </c>
      <c r="J356">
        <v>-369.40026599677333</v>
      </c>
    </row>
    <row r="357" spans="1:10" x14ac:dyDescent="0.35">
      <c r="A357">
        <v>349</v>
      </c>
      <c r="B357">
        <v>864.08688386316021</v>
      </c>
      <c r="C357">
        <v>349</v>
      </c>
      <c r="D357">
        <v>744.2797912547685</v>
      </c>
      <c r="E357">
        <v>349</v>
      </c>
      <c r="F357">
        <v>793.40033031403254</v>
      </c>
      <c r="G357">
        <v>349</v>
      </c>
      <c r="H357">
        <v>129.15851109125106</v>
      </c>
      <c r="I357">
        <v>349</v>
      </c>
      <c r="J357">
        <v>204.31320241316268</v>
      </c>
    </row>
    <row r="358" spans="1:10" x14ac:dyDescent="0.35">
      <c r="A358">
        <v>350</v>
      </c>
      <c r="B358">
        <v>514.32620598818812</v>
      </c>
      <c r="C358">
        <v>350</v>
      </c>
      <c r="D358">
        <v>529.71611968793184</v>
      </c>
      <c r="E358">
        <v>350</v>
      </c>
      <c r="F358">
        <v>-322.57417743703888</v>
      </c>
      <c r="G358">
        <v>350</v>
      </c>
      <c r="H358">
        <v>591.57502975488501</v>
      </c>
      <c r="I358">
        <v>350</v>
      </c>
      <c r="J358">
        <v>110.81318655107481</v>
      </c>
    </row>
    <row r="359" spans="1:10" x14ac:dyDescent="0.35">
      <c r="A359">
        <v>351</v>
      </c>
      <c r="B359">
        <v>868.8162064431682</v>
      </c>
      <c r="C359">
        <v>351</v>
      </c>
      <c r="D359">
        <v>335.4704065863682</v>
      </c>
      <c r="E359">
        <v>351</v>
      </c>
      <c r="F359">
        <v>154.38767207548904</v>
      </c>
      <c r="G359">
        <v>351</v>
      </c>
      <c r="H359">
        <v>98.465016640519934</v>
      </c>
      <c r="I359">
        <v>351</v>
      </c>
      <c r="J359">
        <v>-325.28919722058106</v>
      </c>
    </row>
    <row r="360" spans="1:10" x14ac:dyDescent="0.35">
      <c r="A360">
        <v>352</v>
      </c>
      <c r="B360">
        <v>827.25491475609317</v>
      </c>
      <c r="C360">
        <v>352</v>
      </c>
      <c r="D360">
        <v>378.19539603160632</v>
      </c>
      <c r="E360">
        <v>352</v>
      </c>
      <c r="F360">
        <v>445.45794564854663</v>
      </c>
      <c r="G360">
        <v>352</v>
      </c>
      <c r="H360">
        <v>170.23891542888248</v>
      </c>
      <c r="I360">
        <v>352</v>
      </c>
      <c r="J360">
        <v>-78.107108868575352</v>
      </c>
    </row>
    <row r="361" spans="1:10" x14ac:dyDescent="0.35">
      <c r="A361">
        <v>353</v>
      </c>
      <c r="B361">
        <v>383.46119186379889</v>
      </c>
      <c r="C361">
        <v>353</v>
      </c>
      <c r="D361">
        <v>776.96195558921011</v>
      </c>
      <c r="E361">
        <v>353</v>
      </c>
      <c r="F361">
        <v>100.33496827756863</v>
      </c>
      <c r="G361">
        <v>353</v>
      </c>
      <c r="H361">
        <v>872.9616179585048</v>
      </c>
      <c r="I361">
        <v>353</v>
      </c>
      <c r="J361">
        <v>107.24850215156494</v>
      </c>
    </row>
    <row r="362" spans="1:10" x14ac:dyDescent="0.35">
      <c r="A362">
        <v>354</v>
      </c>
      <c r="B362">
        <v>1013.8587644507402</v>
      </c>
      <c r="C362">
        <v>354</v>
      </c>
      <c r="D362">
        <v>624.15637614483592</v>
      </c>
      <c r="E362">
        <v>354</v>
      </c>
      <c r="F362">
        <v>-218.62894682193752</v>
      </c>
      <c r="G362">
        <v>354</v>
      </c>
      <c r="H362">
        <v>836.2775849313166</v>
      </c>
      <c r="I362">
        <v>354</v>
      </c>
      <c r="J362">
        <v>194.00266103168917</v>
      </c>
    </row>
    <row r="363" spans="1:10" x14ac:dyDescent="0.35">
      <c r="A363">
        <v>355</v>
      </c>
      <c r="B363">
        <v>433.59852746953709</v>
      </c>
      <c r="C363">
        <v>355</v>
      </c>
      <c r="D363">
        <v>624.02748198745905</v>
      </c>
      <c r="E363">
        <v>355</v>
      </c>
      <c r="F363">
        <v>243.90373910858861</v>
      </c>
      <c r="G363">
        <v>355</v>
      </c>
      <c r="H363">
        <v>359.57172936873275</v>
      </c>
      <c r="I363">
        <v>355</v>
      </c>
      <c r="J363">
        <v>-225.71274897291045</v>
      </c>
    </row>
    <row r="364" spans="1:10" x14ac:dyDescent="0.35">
      <c r="A364">
        <v>356</v>
      </c>
      <c r="B364">
        <v>506.49007672304737</v>
      </c>
      <c r="C364">
        <v>356</v>
      </c>
      <c r="D364">
        <v>792.7087822660169</v>
      </c>
      <c r="E364">
        <v>356</v>
      </c>
      <c r="F364">
        <v>-223.9380745172208</v>
      </c>
      <c r="G364">
        <v>356</v>
      </c>
      <c r="H364">
        <v>519.01492666555112</v>
      </c>
      <c r="I364">
        <v>356</v>
      </c>
      <c r="J364">
        <v>-1310.2987697945068</v>
      </c>
    </row>
    <row r="365" spans="1:10" x14ac:dyDescent="0.35">
      <c r="A365">
        <v>357</v>
      </c>
      <c r="B365">
        <v>912.06685613627997</v>
      </c>
      <c r="C365">
        <v>357</v>
      </c>
      <c r="D365">
        <v>592.13015900674611</v>
      </c>
      <c r="E365">
        <v>357</v>
      </c>
      <c r="F365">
        <v>263.14085217310799</v>
      </c>
      <c r="G365">
        <v>357</v>
      </c>
      <c r="H365">
        <v>642.86016669762148</v>
      </c>
      <c r="I365">
        <v>357</v>
      </c>
      <c r="J365">
        <v>-56.443128709612182</v>
      </c>
    </row>
    <row r="366" spans="1:10" x14ac:dyDescent="0.35">
      <c r="A366">
        <v>358</v>
      </c>
      <c r="B366">
        <v>59.213408136088219</v>
      </c>
      <c r="C366">
        <v>358</v>
      </c>
      <c r="D366">
        <v>478.60095626329223</v>
      </c>
      <c r="E366">
        <v>358</v>
      </c>
      <c r="F366">
        <v>218.54060087858056</v>
      </c>
      <c r="G366">
        <v>358</v>
      </c>
      <c r="H366">
        <v>60.202384850238275</v>
      </c>
      <c r="I366">
        <v>358</v>
      </c>
      <c r="J366">
        <v>100.9940967988465</v>
      </c>
    </row>
    <row r="367" spans="1:10" x14ac:dyDescent="0.35">
      <c r="A367">
        <v>359</v>
      </c>
      <c r="B367">
        <v>546.31383734598285</v>
      </c>
      <c r="C367">
        <v>359</v>
      </c>
      <c r="D367">
        <v>856.547336295734</v>
      </c>
      <c r="E367">
        <v>359</v>
      </c>
      <c r="F367">
        <v>36.475730523032986</v>
      </c>
      <c r="G367">
        <v>359</v>
      </c>
      <c r="H367">
        <v>473.42781982313289</v>
      </c>
      <c r="I367">
        <v>359</v>
      </c>
      <c r="J367">
        <v>478.91772332062385</v>
      </c>
    </row>
    <row r="368" spans="1:10" x14ac:dyDescent="0.35">
      <c r="A368">
        <v>360</v>
      </c>
      <c r="B368">
        <v>328.67871294423821</v>
      </c>
      <c r="C368">
        <v>360</v>
      </c>
      <c r="D368">
        <v>612.24142310734021</v>
      </c>
      <c r="E368">
        <v>360</v>
      </c>
      <c r="F368">
        <v>-152.38505150166554</v>
      </c>
      <c r="G368">
        <v>360</v>
      </c>
      <c r="H368">
        <v>133.54017901089941</v>
      </c>
      <c r="I368">
        <v>360</v>
      </c>
      <c r="J368">
        <v>78.16247753053301</v>
      </c>
    </row>
    <row r="369" spans="1:10" x14ac:dyDescent="0.35">
      <c r="A369">
        <v>361</v>
      </c>
      <c r="B369">
        <v>830.14388453960669</v>
      </c>
      <c r="C369">
        <v>361</v>
      </c>
      <c r="D369">
        <v>745.84007834986312</v>
      </c>
      <c r="E369">
        <v>361</v>
      </c>
      <c r="F369">
        <v>260.05199482622021</v>
      </c>
      <c r="G369">
        <v>361</v>
      </c>
      <c r="H369">
        <v>484.33786880361805</v>
      </c>
      <c r="I369">
        <v>361</v>
      </c>
      <c r="J369">
        <v>-227.95039387632585</v>
      </c>
    </row>
    <row r="370" spans="1:10" x14ac:dyDescent="0.35">
      <c r="A370">
        <v>362</v>
      </c>
      <c r="B370">
        <v>937.04176182929973</v>
      </c>
      <c r="C370">
        <v>362</v>
      </c>
      <c r="D370">
        <v>1026.1374562924934</v>
      </c>
      <c r="E370">
        <v>362</v>
      </c>
      <c r="F370">
        <v>150.15279232135964</v>
      </c>
      <c r="G370">
        <v>362</v>
      </c>
      <c r="H370">
        <v>936.63665943054548</v>
      </c>
      <c r="I370">
        <v>362</v>
      </c>
      <c r="J370">
        <v>-449.75406534935803</v>
      </c>
    </row>
    <row r="371" spans="1:10" x14ac:dyDescent="0.35">
      <c r="A371">
        <v>363</v>
      </c>
      <c r="B371">
        <v>691.70138458317297</v>
      </c>
      <c r="C371">
        <v>363</v>
      </c>
      <c r="D371">
        <v>712.42245027846684</v>
      </c>
      <c r="E371">
        <v>363</v>
      </c>
      <c r="F371">
        <v>573.79289434039197</v>
      </c>
      <c r="G371">
        <v>363</v>
      </c>
      <c r="H371">
        <v>887.96697234705721</v>
      </c>
      <c r="I371">
        <v>363</v>
      </c>
      <c r="J371">
        <v>-22.393332231551284</v>
      </c>
    </row>
    <row r="372" spans="1:10" x14ac:dyDescent="0.35">
      <c r="A372">
        <v>364</v>
      </c>
      <c r="B372">
        <v>757.64609970890945</v>
      </c>
      <c r="C372">
        <v>364</v>
      </c>
      <c r="D372">
        <v>736.18527339009449</v>
      </c>
      <c r="E372">
        <v>364</v>
      </c>
      <c r="F372">
        <v>-7.6630723942025014</v>
      </c>
      <c r="G372">
        <v>364</v>
      </c>
      <c r="H372">
        <v>-12.433760120324223</v>
      </c>
      <c r="I372">
        <v>364</v>
      </c>
      <c r="J372">
        <v>-308.55471510377214</v>
      </c>
    </row>
    <row r="373" spans="1:10" x14ac:dyDescent="0.35">
      <c r="A373">
        <v>365</v>
      </c>
      <c r="B373">
        <v>393.07816183328794</v>
      </c>
      <c r="C373">
        <v>365</v>
      </c>
      <c r="D373">
        <v>714.60256734831819</v>
      </c>
      <c r="E373">
        <v>365</v>
      </c>
      <c r="F373">
        <v>-192.26613809327927</v>
      </c>
      <c r="G373">
        <v>365</v>
      </c>
      <c r="H373">
        <v>650.97494291671035</v>
      </c>
      <c r="I373">
        <v>365</v>
      </c>
      <c r="J373">
        <v>-75.715677272380503</v>
      </c>
    </row>
    <row r="374" spans="1:10" x14ac:dyDescent="0.35">
      <c r="A374">
        <v>366</v>
      </c>
      <c r="B374">
        <v>790.18150834448431</v>
      </c>
      <c r="C374">
        <v>366</v>
      </c>
      <c r="D374">
        <v>667.69582252804116</v>
      </c>
      <c r="E374">
        <v>366</v>
      </c>
      <c r="F374">
        <v>66.533991022862523</v>
      </c>
      <c r="G374">
        <v>366</v>
      </c>
      <c r="H374">
        <v>437.18480620615918</v>
      </c>
      <c r="I374">
        <v>366</v>
      </c>
      <c r="J374">
        <v>60.111267372516807</v>
      </c>
    </row>
    <row r="375" spans="1:10" x14ac:dyDescent="0.35">
      <c r="A375">
        <v>367</v>
      </c>
      <c r="B375">
        <v>285.04467401267095</v>
      </c>
      <c r="C375">
        <v>367</v>
      </c>
      <c r="D375">
        <v>900.56023591215808</v>
      </c>
      <c r="E375">
        <v>367</v>
      </c>
      <c r="F375">
        <v>-354.97211030394845</v>
      </c>
      <c r="G375">
        <v>367</v>
      </c>
      <c r="H375">
        <v>453.78607186868879</v>
      </c>
      <c r="I375">
        <v>367</v>
      </c>
      <c r="J375">
        <v>-230.7783554055726</v>
      </c>
    </row>
    <row r="376" spans="1:10" x14ac:dyDescent="0.35">
      <c r="A376">
        <v>368</v>
      </c>
      <c r="B376">
        <v>417.53202129372801</v>
      </c>
      <c r="C376">
        <v>368</v>
      </c>
      <c r="D376">
        <v>403.23382182444681</v>
      </c>
      <c r="E376">
        <v>368</v>
      </c>
      <c r="F376">
        <v>-218.77764451894399</v>
      </c>
      <c r="G376">
        <v>368</v>
      </c>
      <c r="H376">
        <v>792.25707085953582</v>
      </c>
      <c r="I376">
        <v>368</v>
      </c>
      <c r="J376">
        <v>-280.50079116960046</v>
      </c>
    </row>
    <row r="377" spans="1:10" x14ac:dyDescent="0.35">
      <c r="A377">
        <v>369</v>
      </c>
      <c r="B377">
        <v>881.68334074159668</v>
      </c>
      <c r="C377">
        <v>369</v>
      </c>
      <c r="D377">
        <v>691.1532356369147</v>
      </c>
      <c r="E377">
        <v>369</v>
      </c>
      <c r="F377">
        <v>301.37769861528312</v>
      </c>
      <c r="G377">
        <v>369</v>
      </c>
      <c r="H377">
        <v>376.12838415164975</v>
      </c>
      <c r="I377">
        <v>369</v>
      </c>
      <c r="J377">
        <v>-1.395731521193369</v>
      </c>
    </row>
    <row r="378" spans="1:10" x14ac:dyDescent="0.35">
      <c r="A378">
        <v>370</v>
      </c>
      <c r="B378">
        <v>468.29030304219543</v>
      </c>
      <c r="C378">
        <v>370</v>
      </c>
      <c r="D378">
        <v>1015.1871150132124</v>
      </c>
      <c r="E378">
        <v>370</v>
      </c>
      <c r="F378">
        <v>73.519270790563951</v>
      </c>
      <c r="G378">
        <v>370</v>
      </c>
      <c r="H378">
        <v>635.15821872447179</v>
      </c>
      <c r="I378">
        <v>370</v>
      </c>
      <c r="J378">
        <v>-618.16986544068743</v>
      </c>
    </row>
    <row r="379" spans="1:10" x14ac:dyDescent="0.35">
      <c r="A379">
        <v>371</v>
      </c>
      <c r="B379">
        <v>1144.088889182515</v>
      </c>
      <c r="C379">
        <v>371</v>
      </c>
      <c r="D379">
        <v>938.84060000032378</v>
      </c>
      <c r="E379">
        <v>371</v>
      </c>
      <c r="F379">
        <v>22.101270518619195</v>
      </c>
      <c r="G379">
        <v>371</v>
      </c>
      <c r="H379">
        <v>680.47036432952598</v>
      </c>
      <c r="I379">
        <v>371</v>
      </c>
      <c r="J379">
        <v>76.066525237898759</v>
      </c>
    </row>
    <row r="380" spans="1:10" x14ac:dyDescent="0.35">
      <c r="A380">
        <v>372</v>
      </c>
      <c r="B380">
        <v>586.16278226356997</v>
      </c>
      <c r="C380">
        <v>372</v>
      </c>
      <c r="D380">
        <v>778.38998365656198</v>
      </c>
      <c r="E380">
        <v>372</v>
      </c>
      <c r="F380">
        <v>125.00370891226834</v>
      </c>
      <c r="G380">
        <v>372</v>
      </c>
      <c r="H380">
        <v>978.57325412832824</v>
      </c>
      <c r="I380">
        <v>372</v>
      </c>
      <c r="J380">
        <v>-450.657600087346</v>
      </c>
    </row>
    <row r="381" spans="1:10" x14ac:dyDescent="0.35">
      <c r="A381">
        <v>373</v>
      </c>
      <c r="B381">
        <v>609.04244360095629</v>
      </c>
      <c r="C381">
        <v>373</v>
      </c>
      <c r="D381">
        <v>691.71036555333126</v>
      </c>
      <c r="E381">
        <v>373</v>
      </c>
      <c r="F381">
        <v>228.79004610239502</v>
      </c>
      <c r="G381">
        <v>373</v>
      </c>
      <c r="H381">
        <v>335.81701876272928</v>
      </c>
      <c r="I381">
        <v>373</v>
      </c>
      <c r="J381">
        <v>-21.877060285995526</v>
      </c>
    </row>
    <row r="382" spans="1:10" x14ac:dyDescent="0.35">
      <c r="A382">
        <v>374</v>
      </c>
      <c r="B382">
        <v>588.22456143698923</v>
      </c>
      <c r="C382">
        <v>374</v>
      </c>
      <c r="D382">
        <v>577.8446554341009</v>
      </c>
      <c r="E382">
        <v>374</v>
      </c>
      <c r="F382">
        <v>131.68498814083517</v>
      </c>
      <c r="G382">
        <v>374</v>
      </c>
      <c r="H382">
        <v>593.24506922064677</v>
      </c>
      <c r="I382">
        <v>374</v>
      </c>
      <c r="J382">
        <v>-127.68642168127161</v>
      </c>
    </row>
    <row r="383" spans="1:10" x14ac:dyDescent="0.35">
      <c r="A383">
        <v>375</v>
      </c>
      <c r="B383">
        <v>783.76052610701072</v>
      </c>
      <c r="C383">
        <v>375</v>
      </c>
      <c r="D383">
        <v>829.36679283914759</v>
      </c>
      <c r="E383">
        <v>375</v>
      </c>
      <c r="F383">
        <v>1.246288606437858</v>
      </c>
      <c r="G383">
        <v>375</v>
      </c>
      <c r="H383">
        <v>126.63772971283151</v>
      </c>
      <c r="I383">
        <v>375</v>
      </c>
      <c r="J383">
        <v>109.90196498116961</v>
      </c>
    </row>
    <row r="384" spans="1:10" x14ac:dyDescent="0.35">
      <c r="A384">
        <v>376</v>
      </c>
      <c r="B384">
        <v>722.8914881624172</v>
      </c>
      <c r="C384">
        <v>376</v>
      </c>
      <c r="D384">
        <v>526.67324731637734</v>
      </c>
      <c r="E384">
        <v>376</v>
      </c>
      <c r="F384">
        <v>-38.899861263383599</v>
      </c>
      <c r="G384">
        <v>376</v>
      </c>
      <c r="H384">
        <v>40.895155203793536</v>
      </c>
      <c r="I384">
        <v>376</v>
      </c>
      <c r="J384">
        <v>-380.91892170184406</v>
      </c>
    </row>
    <row r="385" spans="1:10" x14ac:dyDescent="0.35">
      <c r="A385">
        <v>377</v>
      </c>
      <c r="B385">
        <v>401.97009588335027</v>
      </c>
      <c r="C385">
        <v>377</v>
      </c>
      <c r="D385">
        <v>724.96175437088414</v>
      </c>
      <c r="E385">
        <v>377</v>
      </c>
      <c r="F385">
        <v>-169.48912410479798</v>
      </c>
      <c r="G385">
        <v>377</v>
      </c>
      <c r="H385">
        <v>-3.8304530875069531</v>
      </c>
      <c r="I385">
        <v>377</v>
      </c>
      <c r="J385">
        <v>199.26202481636687</v>
      </c>
    </row>
    <row r="386" spans="1:10" x14ac:dyDescent="0.35">
      <c r="A386">
        <v>378</v>
      </c>
      <c r="B386">
        <v>822.02296716086289</v>
      </c>
      <c r="C386">
        <v>378</v>
      </c>
      <c r="D386">
        <v>412.9848105774762</v>
      </c>
      <c r="E386">
        <v>378</v>
      </c>
      <c r="F386">
        <v>-37.439425593236535</v>
      </c>
      <c r="G386">
        <v>378</v>
      </c>
      <c r="H386">
        <v>130.20520405721811</v>
      </c>
      <c r="I386">
        <v>378</v>
      </c>
      <c r="J386">
        <v>-565.21472245218126</v>
      </c>
    </row>
    <row r="387" spans="1:10" x14ac:dyDescent="0.35">
      <c r="A387">
        <v>379</v>
      </c>
      <c r="B387">
        <v>659.07793951903841</v>
      </c>
      <c r="C387">
        <v>379</v>
      </c>
      <c r="D387">
        <v>619.85345528763708</v>
      </c>
      <c r="E387">
        <v>379</v>
      </c>
      <c r="F387">
        <v>-183.68130488729014</v>
      </c>
      <c r="G387">
        <v>379</v>
      </c>
      <c r="H387">
        <v>611.63133726987417</v>
      </c>
      <c r="I387">
        <v>379</v>
      </c>
      <c r="J387">
        <v>-226.27711132492945</v>
      </c>
    </row>
    <row r="388" spans="1:10" x14ac:dyDescent="0.35">
      <c r="A388">
        <v>380</v>
      </c>
      <c r="B388">
        <v>591.18642906717491</v>
      </c>
      <c r="C388">
        <v>380</v>
      </c>
      <c r="D388">
        <v>802.17367791000686</v>
      </c>
      <c r="E388">
        <v>380</v>
      </c>
      <c r="F388">
        <v>513.87736209258924</v>
      </c>
      <c r="G388">
        <v>380</v>
      </c>
      <c r="H388">
        <v>374.13455960501079</v>
      </c>
      <c r="I388">
        <v>380</v>
      </c>
      <c r="J388">
        <v>-272.16478855686643</v>
      </c>
    </row>
    <row r="389" spans="1:10" x14ac:dyDescent="0.35">
      <c r="A389">
        <v>381</v>
      </c>
      <c r="B389">
        <v>479.9525557137606</v>
      </c>
      <c r="C389">
        <v>381</v>
      </c>
      <c r="D389">
        <v>781.12282998875298</v>
      </c>
      <c r="E389">
        <v>381</v>
      </c>
      <c r="F389">
        <v>61.310891610058533</v>
      </c>
      <c r="G389">
        <v>381</v>
      </c>
      <c r="H389">
        <v>216.79303676095927</v>
      </c>
      <c r="I389">
        <v>381</v>
      </c>
      <c r="J389">
        <v>-387.26574350922806</v>
      </c>
    </row>
    <row r="390" spans="1:10" x14ac:dyDescent="0.35">
      <c r="A390">
        <v>382</v>
      </c>
      <c r="B390">
        <v>677.50992781904438</v>
      </c>
      <c r="C390">
        <v>382</v>
      </c>
      <c r="D390">
        <v>665.26487601858366</v>
      </c>
      <c r="E390">
        <v>382</v>
      </c>
      <c r="F390">
        <v>271.41370562835846</v>
      </c>
      <c r="G390">
        <v>382</v>
      </c>
      <c r="H390">
        <v>530.10743692900928</v>
      </c>
      <c r="I390">
        <v>382</v>
      </c>
      <c r="J390">
        <v>-824.97302603061701</v>
      </c>
    </row>
    <row r="391" spans="1:10" x14ac:dyDescent="0.35">
      <c r="A391">
        <v>383</v>
      </c>
      <c r="B391">
        <v>679.6647239813658</v>
      </c>
      <c r="C391">
        <v>383</v>
      </c>
      <c r="D391">
        <v>595.27171870239124</v>
      </c>
      <c r="E391">
        <v>383</v>
      </c>
      <c r="F391">
        <v>-56.746634060395351</v>
      </c>
      <c r="G391">
        <v>383</v>
      </c>
      <c r="H391">
        <v>-141.31275259991236</v>
      </c>
      <c r="I391">
        <v>383</v>
      </c>
      <c r="J391">
        <v>-48.955720369537659</v>
      </c>
    </row>
    <row r="392" spans="1:10" x14ac:dyDescent="0.35">
      <c r="A392">
        <v>384</v>
      </c>
      <c r="B392">
        <v>745.16381820270522</v>
      </c>
      <c r="C392">
        <v>384</v>
      </c>
      <c r="D392">
        <v>828.31736960023727</v>
      </c>
      <c r="E392">
        <v>384</v>
      </c>
      <c r="F392">
        <v>-103.42391223490074</v>
      </c>
      <c r="G392">
        <v>384</v>
      </c>
      <c r="H392">
        <v>1264.2042555472435</v>
      </c>
      <c r="I392">
        <v>384</v>
      </c>
      <c r="J392">
        <v>-10.330155377948273</v>
      </c>
    </row>
    <row r="393" spans="1:10" x14ac:dyDescent="0.35">
      <c r="A393">
        <v>385</v>
      </c>
      <c r="B393">
        <v>874.81646535679511</v>
      </c>
      <c r="C393">
        <v>385</v>
      </c>
      <c r="D393">
        <v>785.902769561946</v>
      </c>
      <c r="E393">
        <v>385</v>
      </c>
      <c r="F393">
        <v>-76.870524575687028</v>
      </c>
      <c r="G393">
        <v>385</v>
      </c>
      <c r="H393">
        <v>-113.05455304281742</v>
      </c>
      <c r="I393">
        <v>385</v>
      </c>
      <c r="J393">
        <v>-519.75097237410841</v>
      </c>
    </row>
    <row r="394" spans="1:10" x14ac:dyDescent="0.35">
      <c r="A394">
        <v>386</v>
      </c>
      <c r="B394">
        <v>480.76079786237608</v>
      </c>
      <c r="C394">
        <v>386</v>
      </c>
      <c r="D394">
        <v>498.46654555030949</v>
      </c>
      <c r="E394">
        <v>386</v>
      </c>
      <c r="F394">
        <v>-448.30354907600372</v>
      </c>
      <c r="G394">
        <v>386</v>
      </c>
      <c r="H394">
        <v>431.73921988066206</v>
      </c>
      <c r="I394">
        <v>386</v>
      </c>
      <c r="J394">
        <v>-305.6878269551994</v>
      </c>
    </row>
    <row r="395" spans="1:10" x14ac:dyDescent="0.35">
      <c r="A395">
        <v>387</v>
      </c>
      <c r="B395">
        <v>955.38288547439754</v>
      </c>
      <c r="C395">
        <v>387</v>
      </c>
      <c r="D395">
        <v>580.891137992121</v>
      </c>
      <c r="E395">
        <v>387</v>
      </c>
      <c r="F395">
        <v>-87.718807530245414</v>
      </c>
      <c r="G395">
        <v>387</v>
      </c>
      <c r="H395">
        <v>1063.6015865571746</v>
      </c>
      <c r="I395">
        <v>387</v>
      </c>
      <c r="J395">
        <v>324.48630228406114</v>
      </c>
    </row>
    <row r="396" spans="1:10" x14ac:dyDescent="0.35">
      <c r="A396">
        <v>388</v>
      </c>
      <c r="B396">
        <v>603.41458623876213</v>
      </c>
      <c r="C396">
        <v>388</v>
      </c>
      <c r="D396">
        <v>863.01709440510626</v>
      </c>
      <c r="E396">
        <v>388</v>
      </c>
      <c r="F396">
        <v>-140.06034581640711</v>
      </c>
      <c r="G396">
        <v>388</v>
      </c>
      <c r="H396">
        <v>520.61300032486486</v>
      </c>
      <c r="I396">
        <v>388</v>
      </c>
      <c r="J396">
        <v>-50.65101457175291</v>
      </c>
    </row>
    <row r="397" spans="1:10" x14ac:dyDescent="0.35">
      <c r="A397">
        <v>389</v>
      </c>
      <c r="B397">
        <v>369.38857757873149</v>
      </c>
      <c r="C397">
        <v>389</v>
      </c>
      <c r="D397">
        <v>362.13772322990138</v>
      </c>
      <c r="E397">
        <v>389</v>
      </c>
      <c r="F397">
        <v>132.66902065878477</v>
      </c>
      <c r="G397">
        <v>389</v>
      </c>
      <c r="H397">
        <v>468.62070089325499</v>
      </c>
      <c r="I397">
        <v>389</v>
      </c>
      <c r="J397">
        <v>124.02415879798366</v>
      </c>
    </row>
    <row r="398" spans="1:10" x14ac:dyDescent="0.35">
      <c r="A398">
        <v>390</v>
      </c>
      <c r="B398">
        <v>333.16401685162856</v>
      </c>
      <c r="C398">
        <v>390</v>
      </c>
      <c r="D398">
        <v>544.60709132790146</v>
      </c>
      <c r="E398">
        <v>390</v>
      </c>
      <c r="F398">
        <v>155.10362899439181</v>
      </c>
      <c r="G398">
        <v>390</v>
      </c>
      <c r="H398">
        <v>376.3198128888634</v>
      </c>
      <c r="I398">
        <v>390</v>
      </c>
      <c r="J398">
        <v>-151.65249413619534</v>
      </c>
    </row>
    <row r="399" spans="1:10" x14ac:dyDescent="0.35">
      <c r="A399">
        <v>391</v>
      </c>
      <c r="B399">
        <v>603.20131398773162</v>
      </c>
      <c r="C399">
        <v>391</v>
      </c>
      <c r="D399">
        <v>525.92360980342721</v>
      </c>
      <c r="E399">
        <v>391</v>
      </c>
      <c r="F399">
        <v>-4.4338628580496078</v>
      </c>
      <c r="G399">
        <v>391</v>
      </c>
      <c r="H399">
        <v>378.11579932266875</v>
      </c>
      <c r="I399">
        <v>391</v>
      </c>
      <c r="J399">
        <v>-497.63973301844538</v>
      </c>
    </row>
    <row r="400" spans="1:10" x14ac:dyDescent="0.35">
      <c r="A400">
        <v>392</v>
      </c>
      <c r="B400">
        <v>617.39842080637288</v>
      </c>
      <c r="C400">
        <v>392</v>
      </c>
      <c r="D400">
        <v>373.64614002914277</v>
      </c>
      <c r="E400">
        <v>392</v>
      </c>
      <c r="F400">
        <v>-24.322257578199157</v>
      </c>
      <c r="G400">
        <v>392</v>
      </c>
      <c r="H400">
        <v>770.05927613046538</v>
      </c>
      <c r="I400">
        <v>392</v>
      </c>
      <c r="J400">
        <v>-420.38200621542967</v>
      </c>
    </row>
    <row r="401" spans="1:10" x14ac:dyDescent="0.35">
      <c r="A401">
        <v>393</v>
      </c>
      <c r="B401">
        <v>558.18220289319777</v>
      </c>
      <c r="C401">
        <v>393</v>
      </c>
      <c r="D401">
        <v>485.03139437529717</v>
      </c>
      <c r="E401">
        <v>393</v>
      </c>
      <c r="F401">
        <v>-87.781747891660558</v>
      </c>
      <c r="G401">
        <v>393</v>
      </c>
      <c r="H401">
        <v>660.63657776455761</v>
      </c>
      <c r="I401">
        <v>393</v>
      </c>
      <c r="J401">
        <v>84.46425041622399</v>
      </c>
    </row>
    <row r="402" spans="1:10" x14ac:dyDescent="0.35">
      <c r="A402">
        <v>394</v>
      </c>
      <c r="B402">
        <v>501.38594029294472</v>
      </c>
      <c r="C402">
        <v>394</v>
      </c>
      <c r="D402">
        <v>600.51567319459673</v>
      </c>
      <c r="E402">
        <v>394</v>
      </c>
      <c r="F402">
        <v>236.78770395395205</v>
      </c>
      <c r="G402">
        <v>394</v>
      </c>
      <c r="H402">
        <v>234.9447813337093</v>
      </c>
      <c r="I402">
        <v>394</v>
      </c>
      <c r="J402">
        <v>144.07332711737399</v>
      </c>
    </row>
    <row r="403" spans="1:10" x14ac:dyDescent="0.35">
      <c r="A403">
        <v>395</v>
      </c>
      <c r="B403">
        <v>739.12349106101613</v>
      </c>
      <c r="C403">
        <v>395</v>
      </c>
      <c r="D403">
        <v>745.75553838958638</v>
      </c>
      <c r="E403">
        <v>395</v>
      </c>
      <c r="F403">
        <v>69.389838393848109</v>
      </c>
      <c r="G403">
        <v>395</v>
      </c>
      <c r="H403">
        <v>550.84799363435559</v>
      </c>
      <c r="I403">
        <v>395</v>
      </c>
      <c r="J403">
        <v>-249.03762139178514</v>
      </c>
    </row>
    <row r="404" spans="1:10" x14ac:dyDescent="0.35">
      <c r="A404">
        <v>396</v>
      </c>
      <c r="B404">
        <v>566.27269778815355</v>
      </c>
      <c r="C404">
        <v>396</v>
      </c>
      <c r="D404">
        <v>595.24985592563667</v>
      </c>
      <c r="E404">
        <v>396</v>
      </c>
      <c r="F404">
        <v>-298.61874458581843</v>
      </c>
      <c r="G404">
        <v>396</v>
      </c>
      <c r="H404">
        <v>662.3842090930043</v>
      </c>
      <c r="I404">
        <v>396</v>
      </c>
      <c r="J404">
        <v>-50.763130371045719</v>
      </c>
    </row>
    <row r="405" spans="1:10" x14ac:dyDescent="0.35">
      <c r="A405">
        <v>397</v>
      </c>
      <c r="B405">
        <v>888.50738282082284</v>
      </c>
      <c r="C405">
        <v>397</v>
      </c>
      <c r="D405">
        <v>603.71076171618779</v>
      </c>
      <c r="E405">
        <v>397</v>
      </c>
      <c r="F405">
        <v>85.633966154800532</v>
      </c>
      <c r="G405">
        <v>397</v>
      </c>
      <c r="H405">
        <v>257.18742206151478</v>
      </c>
      <c r="I405">
        <v>397</v>
      </c>
      <c r="J405">
        <v>-795.13638652793952</v>
      </c>
    </row>
    <row r="406" spans="1:10" x14ac:dyDescent="0.35">
      <c r="A406">
        <v>398</v>
      </c>
      <c r="B406">
        <v>766.71620768676917</v>
      </c>
      <c r="C406">
        <v>398</v>
      </c>
      <c r="D406">
        <v>919.29973749692613</v>
      </c>
      <c r="E406">
        <v>398</v>
      </c>
      <c r="F406">
        <v>367.83618098300718</v>
      </c>
      <c r="G406">
        <v>398</v>
      </c>
      <c r="H406">
        <v>842.67420483366459</v>
      </c>
      <c r="I406">
        <v>398</v>
      </c>
      <c r="J406">
        <v>159.93769028791468</v>
      </c>
    </row>
    <row r="407" spans="1:10" x14ac:dyDescent="0.35">
      <c r="A407">
        <v>399</v>
      </c>
      <c r="B407">
        <v>747.46574031998216</v>
      </c>
      <c r="C407">
        <v>399</v>
      </c>
      <c r="D407">
        <v>600.94603481452702</v>
      </c>
      <c r="E407">
        <v>399</v>
      </c>
      <c r="F407">
        <v>367.7239942509816</v>
      </c>
      <c r="G407">
        <v>399</v>
      </c>
      <c r="H407">
        <v>523.40338255706331</v>
      </c>
      <c r="I407">
        <v>399</v>
      </c>
      <c r="J407">
        <v>-261.95626028854059</v>
      </c>
    </row>
    <row r="408" spans="1:10" x14ac:dyDescent="0.35">
      <c r="A408">
        <v>400</v>
      </c>
      <c r="B408">
        <v>539.89822591487814</v>
      </c>
      <c r="C408">
        <v>400</v>
      </c>
      <c r="D408">
        <v>573.54432039674612</v>
      </c>
      <c r="E408">
        <v>400</v>
      </c>
      <c r="F408">
        <v>-27.535064802323177</v>
      </c>
      <c r="G408">
        <v>400</v>
      </c>
      <c r="H408">
        <v>1120.8067166289372</v>
      </c>
      <c r="I408">
        <v>400</v>
      </c>
      <c r="J408">
        <v>-53.295809373807401</v>
      </c>
    </row>
    <row r="409" spans="1:10" x14ac:dyDescent="0.35">
      <c r="A409">
        <v>401</v>
      </c>
      <c r="B409">
        <v>1104.9656947359936</v>
      </c>
      <c r="C409">
        <v>401</v>
      </c>
      <c r="D409">
        <v>333.51664810071719</v>
      </c>
      <c r="E409">
        <v>401</v>
      </c>
      <c r="F409">
        <v>356.03460971521383</v>
      </c>
      <c r="G409">
        <v>401</v>
      </c>
      <c r="H409">
        <v>231.42677127696376</v>
      </c>
      <c r="I409">
        <v>401</v>
      </c>
      <c r="J409">
        <v>-349.41685848708852</v>
      </c>
    </row>
    <row r="410" spans="1:10" x14ac:dyDescent="0.35">
      <c r="A410">
        <v>402</v>
      </c>
      <c r="B410">
        <v>667.00659005824139</v>
      </c>
      <c r="C410">
        <v>402</v>
      </c>
      <c r="D410">
        <v>735.46124734658792</v>
      </c>
      <c r="E410">
        <v>402</v>
      </c>
      <c r="F410">
        <v>441.30650791737878</v>
      </c>
      <c r="G410">
        <v>402</v>
      </c>
      <c r="H410">
        <v>185.83468734906688</v>
      </c>
      <c r="I410">
        <v>402</v>
      </c>
      <c r="J410">
        <v>-691.67242191923629</v>
      </c>
    </row>
    <row r="411" spans="1:10" x14ac:dyDescent="0.35">
      <c r="A411">
        <v>403</v>
      </c>
      <c r="B411">
        <v>893.90902449680448</v>
      </c>
      <c r="C411">
        <v>403</v>
      </c>
      <c r="D411">
        <v>399.07008851078774</v>
      </c>
      <c r="E411">
        <v>403</v>
      </c>
      <c r="F411">
        <v>29.416566863882466</v>
      </c>
      <c r="G411">
        <v>403</v>
      </c>
      <c r="H411">
        <v>330.76731207326753</v>
      </c>
      <c r="I411">
        <v>403</v>
      </c>
      <c r="J411">
        <v>58.044857501757122</v>
      </c>
    </row>
    <row r="412" spans="1:10" x14ac:dyDescent="0.35">
      <c r="A412">
        <v>404</v>
      </c>
      <c r="B412">
        <v>584.83092239258758</v>
      </c>
      <c r="C412">
        <v>404</v>
      </c>
      <c r="D412">
        <v>518.05954989463203</v>
      </c>
      <c r="E412">
        <v>404</v>
      </c>
      <c r="F412">
        <v>57.226074518307058</v>
      </c>
      <c r="G412">
        <v>404</v>
      </c>
      <c r="H412">
        <v>716.91430160553182</v>
      </c>
      <c r="I412">
        <v>404</v>
      </c>
      <c r="J412">
        <v>-295.15184215156137</v>
      </c>
    </row>
    <row r="413" spans="1:10" x14ac:dyDescent="0.35">
      <c r="A413">
        <v>405</v>
      </c>
      <c r="B413">
        <v>610.25350829888191</v>
      </c>
      <c r="C413">
        <v>405</v>
      </c>
      <c r="D413">
        <v>789.6649097685397</v>
      </c>
      <c r="E413">
        <v>405</v>
      </c>
      <c r="F413">
        <v>180.33665962354161</v>
      </c>
      <c r="G413">
        <v>405</v>
      </c>
      <c r="H413">
        <v>878.75105944731695</v>
      </c>
      <c r="I413">
        <v>405</v>
      </c>
      <c r="J413">
        <v>-369.59140130140042</v>
      </c>
    </row>
    <row r="414" spans="1:10" x14ac:dyDescent="0.35">
      <c r="A414">
        <v>406</v>
      </c>
      <c r="B414">
        <v>817.83733105192948</v>
      </c>
      <c r="C414">
        <v>406</v>
      </c>
      <c r="D414">
        <v>866.37532128627117</v>
      </c>
      <c r="E414">
        <v>406</v>
      </c>
      <c r="F414">
        <v>-0.43287560548729687</v>
      </c>
      <c r="G414">
        <v>406</v>
      </c>
      <c r="H414">
        <v>414.51115856871132</v>
      </c>
      <c r="I414">
        <v>406</v>
      </c>
      <c r="J414">
        <v>-521.79853168136401</v>
      </c>
    </row>
    <row r="415" spans="1:10" x14ac:dyDescent="0.35">
      <c r="A415">
        <v>407</v>
      </c>
      <c r="B415">
        <v>741.29528233292888</v>
      </c>
      <c r="C415">
        <v>407</v>
      </c>
      <c r="D415">
        <v>715.02768150129793</v>
      </c>
      <c r="E415">
        <v>407</v>
      </c>
      <c r="F415">
        <v>-35.226912658333163</v>
      </c>
      <c r="G415">
        <v>407</v>
      </c>
      <c r="H415">
        <v>906.10565001888506</v>
      </c>
      <c r="I415">
        <v>407</v>
      </c>
      <c r="J415">
        <v>-15.913198811941214</v>
      </c>
    </row>
    <row r="416" spans="1:10" x14ac:dyDescent="0.35">
      <c r="A416">
        <v>408</v>
      </c>
      <c r="B416">
        <v>590.93476598261054</v>
      </c>
      <c r="C416">
        <v>408</v>
      </c>
      <c r="D416">
        <v>416.00195266431501</v>
      </c>
      <c r="E416">
        <v>408</v>
      </c>
      <c r="F416">
        <v>228.59064389526105</v>
      </c>
      <c r="G416">
        <v>408</v>
      </c>
      <c r="H416">
        <v>33.941579616331751</v>
      </c>
      <c r="I416">
        <v>408</v>
      </c>
      <c r="J416">
        <v>294.77895122943056</v>
      </c>
    </row>
    <row r="417" spans="1:10" x14ac:dyDescent="0.35">
      <c r="A417">
        <v>409</v>
      </c>
      <c r="B417">
        <v>734.58858501042403</v>
      </c>
      <c r="C417">
        <v>409</v>
      </c>
      <c r="D417">
        <v>635.59118166277597</v>
      </c>
      <c r="E417">
        <v>409</v>
      </c>
      <c r="F417">
        <v>157.16090336230627</v>
      </c>
      <c r="G417">
        <v>409</v>
      </c>
      <c r="H417">
        <v>83.651911869967705</v>
      </c>
      <c r="I417">
        <v>409</v>
      </c>
      <c r="J417">
        <v>272.23757155705795</v>
      </c>
    </row>
    <row r="418" spans="1:10" x14ac:dyDescent="0.35">
      <c r="A418">
        <v>410</v>
      </c>
      <c r="B418">
        <v>799.37221630672798</v>
      </c>
      <c r="C418">
        <v>410</v>
      </c>
      <c r="D418">
        <v>416.25615121165038</v>
      </c>
      <c r="E418">
        <v>410</v>
      </c>
      <c r="F418">
        <v>-170.917743852489</v>
      </c>
      <c r="G418">
        <v>410</v>
      </c>
      <c r="H418">
        <v>1148.7708800429723</v>
      </c>
      <c r="I418">
        <v>410</v>
      </c>
      <c r="J418">
        <v>285.44679142587302</v>
      </c>
    </row>
    <row r="419" spans="1:10" x14ac:dyDescent="0.35">
      <c r="A419">
        <v>411</v>
      </c>
      <c r="B419">
        <v>335.18741941924196</v>
      </c>
      <c r="C419">
        <v>411</v>
      </c>
      <c r="D419">
        <v>492.73121741224162</v>
      </c>
      <c r="E419">
        <v>411</v>
      </c>
      <c r="F419">
        <v>84.133074240975844</v>
      </c>
      <c r="G419">
        <v>411</v>
      </c>
      <c r="H419">
        <v>463.4354739204631</v>
      </c>
      <c r="I419">
        <v>411</v>
      </c>
      <c r="J419">
        <v>23.230152725467349</v>
      </c>
    </row>
    <row r="420" spans="1:10" x14ac:dyDescent="0.35">
      <c r="A420">
        <v>412</v>
      </c>
      <c r="B420">
        <v>672.05617590824443</v>
      </c>
      <c r="C420">
        <v>412</v>
      </c>
      <c r="D420">
        <v>441.7392520341657</v>
      </c>
      <c r="E420">
        <v>412</v>
      </c>
      <c r="F420">
        <v>12.405575420169583</v>
      </c>
      <c r="G420">
        <v>412</v>
      </c>
      <c r="H420">
        <v>721.71413002962072</v>
      </c>
      <c r="I420">
        <v>412</v>
      </c>
      <c r="J420">
        <v>-56.33767054292386</v>
      </c>
    </row>
    <row r="421" spans="1:10" x14ac:dyDescent="0.35">
      <c r="A421">
        <v>413</v>
      </c>
      <c r="B421">
        <v>566.16640612546587</v>
      </c>
      <c r="C421">
        <v>413</v>
      </c>
      <c r="D421">
        <v>371.80183059255796</v>
      </c>
      <c r="E421">
        <v>413</v>
      </c>
      <c r="F421">
        <v>-58.228034823753575</v>
      </c>
      <c r="G421">
        <v>413</v>
      </c>
      <c r="H421">
        <v>741.83281238070867</v>
      </c>
      <c r="I421">
        <v>413</v>
      </c>
      <c r="J421">
        <v>-89.296413561378031</v>
      </c>
    </row>
    <row r="422" spans="1:10" x14ac:dyDescent="0.35">
      <c r="A422">
        <v>414</v>
      </c>
      <c r="B422">
        <v>818.58006925436007</v>
      </c>
      <c r="C422">
        <v>414</v>
      </c>
      <c r="D422">
        <v>577.56970802990043</v>
      </c>
      <c r="E422">
        <v>414</v>
      </c>
      <c r="F422">
        <v>174.51590968167613</v>
      </c>
      <c r="G422">
        <v>414</v>
      </c>
      <c r="H422">
        <v>158.36222207890177</v>
      </c>
      <c r="I422">
        <v>414</v>
      </c>
      <c r="J422">
        <v>198.52291434657656</v>
      </c>
    </row>
    <row r="423" spans="1:10" x14ac:dyDescent="0.35">
      <c r="A423">
        <v>415</v>
      </c>
      <c r="B423">
        <v>602.56911049760743</v>
      </c>
      <c r="C423">
        <v>415</v>
      </c>
      <c r="D423">
        <v>636.59633738488571</v>
      </c>
      <c r="E423">
        <v>415</v>
      </c>
      <c r="F423">
        <v>-99.422743716152326</v>
      </c>
      <c r="G423">
        <v>415</v>
      </c>
      <c r="H423">
        <v>968.63990042510727</v>
      </c>
      <c r="I423">
        <v>415</v>
      </c>
      <c r="J423">
        <v>19.540697827916972</v>
      </c>
    </row>
    <row r="424" spans="1:10" x14ac:dyDescent="0.35">
      <c r="A424">
        <v>416</v>
      </c>
      <c r="B424">
        <v>428.84971037416665</v>
      </c>
      <c r="C424">
        <v>416</v>
      </c>
      <c r="D424">
        <v>407.60034238812761</v>
      </c>
      <c r="E424">
        <v>416</v>
      </c>
      <c r="F424">
        <v>-45.090235364486887</v>
      </c>
      <c r="G424">
        <v>416</v>
      </c>
      <c r="H424">
        <v>544.77022463884157</v>
      </c>
      <c r="I424">
        <v>416</v>
      </c>
      <c r="J424">
        <v>-589.23144638124677</v>
      </c>
    </row>
    <row r="425" spans="1:10" x14ac:dyDescent="0.35">
      <c r="A425">
        <v>417</v>
      </c>
      <c r="B425">
        <v>635.94986685363506</v>
      </c>
      <c r="C425">
        <v>417</v>
      </c>
      <c r="D425">
        <v>890.86222124663948</v>
      </c>
      <c r="E425">
        <v>417</v>
      </c>
      <c r="F425">
        <v>284.80703376947292</v>
      </c>
      <c r="G425">
        <v>417</v>
      </c>
      <c r="H425">
        <v>326.09989555819618</v>
      </c>
      <c r="I425">
        <v>417</v>
      </c>
      <c r="J425">
        <v>-529.24422106860629</v>
      </c>
    </row>
    <row r="426" spans="1:10" x14ac:dyDescent="0.35">
      <c r="A426">
        <v>418</v>
      </c>
      <c r="B426">
        <v>556.73809110568607</v>
      </c>
      <c r="C426">
        <v>418</v>
      </c>
      <c r="D426">
        <v>500.2232646156499</v>
      </c>
      <c r="E426">
        <v>418</v>
      </c>
      <c r="F426">
        <v>377.31382372215359</v>
      </c>
      <c r="G426">
        <v>418</v>
      </c>
      <c r="H426">
        <v>-94.891577982123579</v>
      </c>
      <c r="I426">
        <v>418</v>
      </c>
      <c r="J426">
        <v>240.57523784017667</v>
      </c>
    </row>
    <row r="427" spans="1:10" x14ac:dyDescent="0.35">
      <c r="A427">
        <v>419</v>
      </c>
      <c r="B427">
        <v>721.15368297623809</v>
      </c>
      <c r="C427">
        <v>419</v>
      </c>
      <c r="D427">
        <v>366.50455161315062</v>
      </c>
      <c r="E427">
        <v>419</v>
      </c>
      <c r="F427">
        <v>-43.762451395739873</v>
      </c>
      <c r="G427">
        <v>419</v>
      </c>
      <c r="H427">
        <v>520.15749572765208</v>
      </c>
      <c r="I427">
        <v>419</v>
      </c>
      <c r="J427">
        <v>127.30482364432163</v>
      </c>
    </row>
    <row r="428" spans="1:10" x14ac:dyDescent="0.35">
      <c r="A428">
        <v>420</v>
      </c>
      <c r="B428">
        <v>690.2104442261948</v>
      </c>
      <c r="C428">
        <v>420</v>
      </c>
      <c r="D428">
        <v>1080.8679299831279</v>
      </c>
      <c r="E428">
        <v>420</v>
      </c>
      <c r="F428">
        <v>11.278991728480939</v>
      </c>
      <c r="G428">
        <v>420</v>
      </c>
      <c r="H428">
        <v>835.91673088667392</v>
      </c>
      <c r="I428">
        <v>420</v>
      </c>
      <c r="J428">
        <v>-185.53370485087132</v>
      </c>
    </row>
    <row r="429" spans="1:10" x14ac:dyDescent="0.35">
      <c r="A429">
        <v>421</v>
      </c>
      <c r="B429">
        <v>531.67040921541991</v>
      </c>
      <c r="C429">
        <v>421</v>
      </c>
      <c r="D429">
        <v>279.25568613148732</v>
      </c>
      <c r="E429">
        <v>421</v>
      </c>
      <c r="F429">
        <v>266.2485316477559</v>
      </c>
      <c r="G429">
        <v>421</v>
      </c>
      <c r="H429">
        <v>628.65295197194371</v>
      </c>
      <c r="I429">
        <v>421</v>
      </c>
      <c r="J429">
        <v>-249.34494238930145</v>
      </c>
    </row>
    <row r="430" spans="1:10" x14ac:dyDescent="0.35">
      <c r="A430">
        <v>422</v>
      </c>
      <c r="B430">
        <v>566.18734492648446</v>
      </c>
      <c r="C430">
        <v>422</v>
      </c>
      <c r="D430">
        <v>688.41168903040523</v>
      </c>
      <c r="E430">
        <v>422</v>
      </c>
      <c r="F430">
        <v>246.6766428230579</v>
      </c>
      <c r="G430">
        <v>422</v>
      </c>
      <c r="H430">
        <v>546.15303786253128</v>
      </c>
      <c r="I430">
        <v>422</v>
      </c>
      <c r="J430">
        <v>-465.47704492451652</v>
      </c>
    </row>
    <row r="431" spans="1:10" x14ac:dyDescent="0.35">
      <c r="A431">
        <v>423</v>
      </c>
      <c r="B431">
        <v>797.05776083036471</v>
      </c>
      <c r="C431">
        <v>423</v>
      </c>
      <c r="D431">
        <v>424.47605212262613</v>
      </c>
      <c r="E431">
        <v>423</v>
      </c>
      <c r="F431">
        <v>-31.885609553173779</v>
      </c>
      <c r="G431">
        <v>423</v>
      </c>
      <c r="H431">
        <v>616.05720070543828</v>
      </c>
      <c r="I431">
        <v>423</v>
      </c>
      <c r="J431">
        <v>-51.559164327976902</v>
      </c>
    </row>
    <row r="432" spans="1:10" x14ac:dyDescent="0.35">
      <c r="A432">
        <v>424</v>
      </c>
      <c r="B432">
        <v>542.64495458830902</v>
      </c>
      <c r="C432">
        <v>424</v>
      </c>
      <c r="D432">
        <v>500.6193779254495</v>
      </c>
      <c r="E432">
        <v>424</v>
      </c>
      <c r="F432">
        <v>208.66916615927724</v>
      </c>
      <c r="G432">
        <v>424</v>
      </c>
      <c r="H432">
        <v>1172.2123748618149</v>
      </c>
      <c r="I432">
        <v>424</v>
      </c>
      <c r="J432">
        <v>-137.680348599198</v>
      </c>
    </row>
    <row r="433" spans="1:10" x14ac:dyDescent="0.35">
      <c r="A433">
        <v>425</v>
      </c>
      <c r="B433">
        <v>523.62782200087031</v>
      </c>
      <c r="C433">
        <v>425</v>
      </c>
      <c r="D433">
        <v>804.32034366086236</v>
      </c>
      <c r="E433">
        <v>425</v>
      </c>
      <c r="F433">
        <v>-270.64673885182162</v>
      </c>
      <c r="G433">
        <v>425</v>
      </c>
      <c r="H433">
        <v>316.49811620693993</v>
      </c>
      <c r="I433">
        <v>425</v>
      </c>
      <c r="J433">
        <v>19.73954669358497</v>
      </c>
    </row>
    <row r="434" spans="1:10" x14ac:dyDescent="0.35">
      <c r="A434">
        <v>426</v>
      </c>
      <c r="B434">
        <v>792.60647006839019</v>
      </c>
      <c r="C434">
        <v>426</v>
      </c>
      <c r="D434">
        <v>914.03527308721459</v>
      </c>
      <c r="E434">
        <v>426</v>
      </c>
      <c r="F434">
        <v>129.16374148574357</v>
      </c>
      <c r="G434">
        <v>426</v>
      </c>
      <c r="H434">
        <v>466.66469473101608</v>
      </c>
      <c r="I434">
        <v>426</v>
      </c>
      <c r="J434">
        <v>-896.53556623988698</v>
      </c>
    </row>
    <row r="435" spans="1:10" x14ac:dyDescent="0.35">
      <c r="A435">
        <v>427</v>
      </c>
      <c r="B435">
        <v>494.47364841681508</v>
      </c>
      <c r="C435">
        <v>427</v>
      </c>
      <c r="D435">
        <v>333.19549505499327</v>
      </c>
      <c r="E435">
        <v>427</v>
      </c>
      <c r="F435">
        <v>236.31749052605142</v>
      </c>
      <c r="G435">
        <v>427</v>
      </c>
      <c r="H435">
        <v>623.99543506838927</v>
      </c>
      <c r="I435">
        <v>427</v>
      </c>
      <c r="J435">
        <v>-245.23278443680528</v>
      </c>
    </row>
    <row r="436" spans="1:10" x14ac:dyDescent="0.35">
      <c r="A436">
        <v>428</v>
      </c>
      <c r="B436">
        <v>521.14143332808555</v>
      </c>
      <c r="C436">
        <v>428</v>
      </c>
      <c r="D436">
        <v>679.28703529471557</v>
      </c>
      <c r="E436">
        <v>428</v>
      </c>
      <c r="F436">
        <v>19.175779907536565</v>
      </c>
      <c r="G436">
        <v>428</v>
      </c>
      <c r="H436">
        <v>795.14682967364581</v>
      </c>
      <c r="I436">
        <v>428</v>
      </c>
      <c r="J436">
        <v>-816.15355381930556</v>
      </c>
    </row>
    <row r="437" spans="1:10" x14ac:dyDescent="0.35">
      <c r="A437">
        <v>429</v>
      </c>
      <c r="B437">
        <v>728.17823884733195</v>
      </c>
      <c r="C437">
        <v>429</v>
      </c>
      <c r="D437">
        <v>639.77258143694087</v>
      </c>
      <c r="E437">
        <v>429</v>
      </c>
      <c r="F437">
        <v>-262.65021611114463</v>
      </c>
      <c r="G437">
        <v>429</v>
      </c>
      <c r="H437">
        <v>269.8738222283194</v>
      </c>
      <c r="I437">
        <v>429</v>
      </c>
      <c r="J437">
        <v>-749.00453890598328</v>
      </c>
    </row>
    <row r="438" spans="1:10" x14ac:dyDescent="0.35">
      <c r="A438">
        <v>430</v>
      </c>
      <c r="B438">
        <v>400.07383188035487</v>
      </c>
      <c r="C438">
        <v>430</v>
      </c>
      <c r="D438">
        <v>823.86067607952805</v>
      </c>
      <c r="E438">
        <v>430</v>
      </c>
      <c r="F438">
        <v>-124.96077407174312</v>
      </c>
      <c r="G438">
        <v>430</v>
      </c>
      <c r="H438">
        <v>299.47684639003</v>
      </c>
      <c r="I438">
        <v>430</v>
      </c>
      <c r="J438">
        <v>-565.67509246645409</v>
      </c>
    </row>
    <row r="439" spans="1:10" x14ac:dyDescent="0.35">
      <c r="A439">
        <v>431</v>
      </c>
      <c r="B439">
        <v>636.48438163216622</v>
      </c>
      <c r="C439">
        <v>431</v>
      </c>
      <c r="D439">
        <v>776.48637741017103</v>
      </c>
      <c r="E439">
        <v>431</v>
      </c>
      <c r="F439">
        <v>-51.566734299218467</v>
      </c>
      <c r="G439">
        <v>431</v>
      </c>
      <c r="H439">
        <v>771.55303202230505</v>
      </c>
      <c r="I439">
        <v>431</v>
      </c>
      <c r="J439">
        <v>-376.90250060055826</v>
      </c>
    </row>
    <row r="440" spans="1:10" x14ac:dyDescent="0.35">
      <c r="A440">
        <v>432</v>
      </c>
      <c r="B440">
        <v>782.59596627636097</v>
      </c>
      <c r="C440">
        <v>432</v>
      </c>
      <c r="D440">
        <v>559.48169718469103</v>
      </c>
      <c r="E440">
        <v>432</v>
      </c>
      <c r="F440">
        <v>192.9034926891942</v>
      </c>
      <c r="G440">
        <v>432</v>
      </c>
      <c r="H440">
        <v>260.83584721719922</v>
      </c>
      <c r="I440">
        <v>432</v>
      </c>
      <c r="J440">
        <v>-190.12161193056033</v>
      </c>
    </row>
    <row r="441" spans="1:10" x14ac:dyDescent="0.35">
      <c r="A441">
        <v>433</v>
      </c>
      <c r="B441">
        <v>657.67145943105947</v>
      </c>
      <c r="C441">
        <v>433</v>
      </c>
      <c r="D441">
        <v>617.57571521939713</v>
      </c>
      <c r="E441">
        <v>433</v>
      </c>
      <c r="F441">
        <v>148.07163695204781</v>
      </c>
      <c r="G441">
        <v>433</v>
      </c>
      <c r="H441">
        <v>290.11938411331226</v>
      </c>
      <c r="I441">
        <v>433</v>
      </c>
      <c r="J441">
        <v>45.08548721726288</v>
      </c>
    </row>
    <row r="442" spans="1:10" x14ac:dyDescent="0.35">
      <c r="A442">
        <v>434</v>
      </c>
      <c r="B442">
        <v>487.46357532002878</v>
      </c>
      <c r="C442">
        <v>434</v>
      </c>
      <c r="D442">
        <v>503.73113374195594</v>
      </c>
      <c r="E442">
        <v>434</v>
      </c>
      <c r="F442">
        <v>364.44877050669464</v>
      </c>
      <c r="G442">
        <v>434</v>
      </c>
      <c r="H442">
        <v>210.1698139186089</v>
      </c>
      <c r="I442">
        <v>434</v>
      </c>
      <c r="J442">
        <v>553.44698793245402</v>
      </c>
    </row>
    <row r="443" spans="1:10" x14ac:dyDescent="0.35">
      <c r="A443">
        <v>435</v>
      </c>
      <c r="B443">
        <v>684.86861285531029</v>
      </c>
      <c r="C443">
        <v>435</v>
      </c>
      <c r="D443">
        <v>587.5313320827355</v>
      </c>
      <c r="E443">
        <v>435</v>
      </c>
      <c r="F443">
        <v>-206.75404444868201</v>
      </c>
      <c r="G443">
        <v>435</v>
      </c>
      <c r="H443">
        <v>531.97918271209562</v>
      </c>
      <c r="I443">
        <v>435</v>
      </c>
      <c r="J443">
        <v>118.53901478606059</v>
      </c>
    </row>
    <row r="444" spans="1:10" x14ac:dyDescent="0.35">
      <c r="A444">
        <v>436</v>
      </c>
      <c r="B444">
        <v>604.53679764670642</v>
      </c>
      <c r="C444">
        <v>436</v>
      </c>
      <c r="D444">
        <v>416.38208357744543</v>
      </c>
      <c r="E444">
        <v>436</v>
      </c>
      <c r="F444">
        <v>122.33824722278096</v>
      </c>
      <c r="G444">
        <v>436</v>
      </c>
      <c r="H444">
        <v>394.15514185690381</v>
      </c>
      <c r="I444">
        <v>436</v>
      </c>
      <c r="J444">
        <v>-677.77497884286208</v>
      </c>
    </row>
    <row r="445" spans="1:10" x14ac:dyDescent="0.35">
      <c r="A445">
        <v>437</v>
      </c>
      <c r="B445">
        <v>371.60953365981669</v>
      </c>
      <c r="C445">
        <v>437</v>
      </c>
      <c r="D445">
        <v>552.57787296952336</v>
      </c>
      <c r="E445">
        <v>437</v>
      </c>
      <c r="F445">
        <v>48.789925193701379</v>
      </c>
      <c r="G445">
        <v>437</v>
      </c>
      <c r="H445">
        <v>737.48186917126645</v>
      </c>
      <c r="I445">
        <v>437</v>
      </c>
      <c r="J445">
        <v>-241.23196090879668</v>
      </c>
    </row>
    <row r="446" spans="1:10" x14ac:dyDescent="0.35">
      <c r="A446">
        <v>438</v>
      </c>
      <c r="B446">
        <v>591.51807969022764</v>
      </c>
      <c r="C446">
        <v>438</v>
      </c>
      <c r="D446">
        <v>597.21311918693959</v>
      </c>
      <c r="E446">
        <v>438</v>
      </c>
      <c r="F446">
        <v>14.752853055192382</v>
      </c>
      <c r="G446">
        <v>438</v>
      </c>
      <c r="H446">
        <v>528.74082884764425</v>
      </c>
      <c r="I446">
        <v>438</v>
      </c>
      <c r="J446">
        <v>38.769165781269891</v>
      </c>
    </row>
    <row r="447" spans="1:10" x14ac:dyDescent="0.35">
      <c r="A447">
        <v>439</v>
      </c>
      <c r="B447">
        <v>668.62433338826668</v>
      </c>
      <c r="C447">
        <v>439</v>
      </c>
      <c r="D447">
        <v>847.07096035908796</v>
      </c>
      <c r="E447">
        <v>439</v>
      </c>
      <c r="F447">
        <v>43.256275766305698</v>
      </c>
      <c r="G447">
        <v>439</v>
      </c>
      <c r="H447">
        <v>-150.93758010119217</v>
      </c>
      <c r="I447">
        <v>439</v>
      </c>
      <c r="J447">
        <v>132.76124767289406</v>
      </c>
    </row>
    <row r="448" spans="1:10" x14ac:dyDescent="0.35">
      <c r="A448">
        <v>440</v>
      </c>
      <c r="B448">
        <v>717.56404964286912</v>
      </c>
      <c r="C448">
        <v>440</v>
      </c>
      <c r="D448">
        <v>685.48164478191495</v>
      </c>
      <c r="E448">
        <v>440</v>
      </c>
      <c r="F448">
        <v>70.961673123119454</v>
      </c>
      <c r="G448">
        <v>440</v>
      </c>
      <c r="H448">
        <v>-305.04848068977441</v>
      </c>
      <c r="I448">
        <v>440</v>
      </c>
      <c r="J448">
        <v>-251.10196668479014</v>
      </c>
    </row>
    <row r="449" spans="1:10" x14ac:dyDescent="0.35">
      <c r="A449">
        <v>441</v>
      </c>
      <c r="B449">
        <v>784.83938668544477</v>
      </c>
      <c r="C449">
        <v>441</v>
      </c>
      <c r="D449">
        <v>419.39571114798645</v>
      </c>
      <c r="E449">
        <v>441</v>
      </c>
      <c r="F449">
        <v>-64.406576508560477</v>
      </c>
      <c r="G449">
        <v>441</v>
      </c>
      <c r="H449">
        <v>170.17198332551311</v>
      </c>
      <c r="I449">
        <v>441</v>
      </c>
      <c r="J449">
        <v>-229.73719818880943</v>
      </c>
    </row>
    <row r="450" spans="1:10" x14ac:dyDescent="0.35">
      <c r="A450">
        <v>442</v>
      </c>
      <c r="B450">
        <v>898.80161018479259</v>
      </c>
      <c r="C450">
        <v>442</v>
      </c>
      <c r="D450">
        <v>761.96545064865154</v>
      </c>
      <c r="E450">
        <v>442</v>
      </c>
      <c r="F450">
        <v>152.34300885756787</v>
      </c>
      <c r="G450">
        <v>442</v>
      </c>
      <c r="H450">
        <v>1103.620520771794</v>
      </c>
      <c r="I450">
        <v>442</v>
      </c>
      <c r="J450">
        <v>458.69071388407826</v>
      </c>
    </row>
    <row r="451" spans="1:10" x14ac:dyDescent="0.35">
      <c r="A451">
        <v>443</v>
      </c>
      <c r="B451">
        <v>659.20392135211557</v>
      </c>
      <c r="C451">
        <v>443</v>
      </c>
      <c r="D451">
        <v>431.09121793893274</v>
      </c>
      <c r="E451">
        <v>443</v>
      </c>
      <c r="F451">
        <v>590.6735137610757</v>
      </c>
      <c r="G451">
        <v>443</v>
      </c>
      <c r="H451">
        <v>55.199812924795822</v>
      </c>
      <c r="I451">
        <v>443</v>
      </c>
      <c r="J451">
        <v>-31.544249408258992</v>
      </c>
    </row>
    <row r="452" spans="1:10" x14ac:dyDescent="0.35">
      <c r="A452">
        <v>444</v>
      </c>
      <c r="B452">
        <v>328.76039520145423</v>
      </c>
      <c r="C452">
        <v>444</v>
      </c>
      <c r="D452">
        <v>316.80482580220263</v>
      </c>
      <c r="E452">
        <v>444</v>
      </c>
      <c r="F452">
        <v>-399.8295886205002</v>
      </c>
      <c r="G452">
        <v>444</v>
      </c>
      <c r="H452">
        <v>503.62793187031366</v>
      </c>
      <c r="I452">
        <v>444</v>
      </c>
      <c r="J452">
        <v>-205.42575552554649</v>
      </c>
    </row>
    <row r="453" spans="1:10" x14ac:dyDescent="0.35">
      <c r="A453">
        <v>445</v>
      </c>
      <c r="B453">
        <v>659.56696828979943</v>
      </c>
      <c r="C453">
        <v>445</v>
      </c>
      <c r="D453">
        <v>446.17518747809532</v>
      </c>
      <c r="E453">
        <v>445</v>
      </c>
      <c r="F453">
        <v>-191.15468777312668</v>
      </c>
      <c r="G453">
        <v>445</v>
      </c>
      <c r="H453">
        <v>439.83559940506683</v>
      </c>
      <c r="I453">
        <v>445</v>
      </c>
      <c r="J453">
        <v>-57.889785587633298</v>
      </c>
    </row>
    <row r="454" spans="1:10" x14ac:dyDescent="0.35">
      <c r="A454">
        <v>446</v>
      </c>
      <c r="B454">
        <v>1026.3473289818508</v>
      </c>
      <c r="C454">
        <v>446</v>
      </c>
      <c r="D454">
        <v>825.18014346978964</v>
      </c>
      <c r="E454">
        <v>446</v>
      </c>
      <c r="F454">
        <v>-210.42549874118458</v>
      </c>
      <c r="G454">
        <v>446</v>
      </c>
      <c r="H454">
        <v>496.25211653370303</v>
      </c>
      <c r="I454">
        <v>446</v>
      </c>
      <c r="J454">
        <v>-333.15715513374374</v>
      </c>
    </row>
    <row r="455" spans="1:10" x14ac:dyDescent="0.35">
      <c r="A455">
        <v>447</v>
      </c>
      <c r="B455">
        <v>558.31272868850829</v>
      </c>
      <c r="C455">
        <v>447</v>
      </c>
      <c r="D455">
        <v>936.06734377042812</v>
      </c>
      <c r="E455">
        <v>447</v>
      </c>
      <c r="F455">
        <v>94.764400305057364</v>
      </c>
      <c r="G455">
        <v>447</v>
      </c>
      <c r="H455">
        <v>415.48867015080378</v>
      </c>
      <c r="I455">
        <v>447</v>
      </c>
      <c r="J455">
        <v>-169.16498993162719</v>
      </c>
    </row>
    <row r="456" spans="1:10" x14ac:dyDescent="0.35">
      <c r="A456">
        <v>448</v>
      </c>
      <c r="B456">
        <v>1025.7085741951412</v>
      </c>
      <c r="C456">
        <v>448</v>
      </c>
      <c r="D456">
        <v>478.04145431482596</v>
      </c>
      <c r="E456">
        <v>448</v>
      </c>
      <c r="F456">
        <v>-80.609464553460015</v>
      </c>
      <c r="G456">
        <v>448</v>
      </c>
      <c r="H456">
        <v>470.03531248764256</v>
      </c>
      <c r="I456">
        <v>448</v>
      </c>
      <c r="J456">
        <v>-380.12960093390217</v>
      </c>
    </row>
    <row r="457" spans="1:10" x14ac:dyDescent="0.35">
      <c r="A457">
        <v>449</v>
      </c>
      <c r="B457">
        <v>977.59493249175932</v>
      </c>
      <c r="C457">
        <v>449</v>
      </c>
      <c r="D457">
        <v>719.68471854194422</v>
      </c>
      <c r="E457">
        <v>449</v>
      </c>
      <c r="F457">
        <v>347.32995869079269</v>
      </c>
      <c r="G457">
        <v>449</v>
      </c>
      <c r="H457">
        <v>-130.77163908692506</v>
      </c>
      <c r="I457">
        <v>449</v>
      </c>
      <c r="J457">
        <v>-768.08228268670359</v>
      </c>
    </row>
    <row r="458" spans="1:10" x14ac:dyDescent="0.35">
      <c r="A458">
        <v>450</v>
      </c>
      <c r="B458">
        <v>343.63917720978219</v>
      </c>
      <c r="C458">
        <v>450</v>
      </c>
      <c r="D458">
        <v>491.3099581482104</v>
      </c>
      <c r="E458">
        <v>450</v>
      </c>
      <c r="F458">
        <v>44.977635475802558</v>
      </c>
      <c r="G458">
        <v>450</v>
      </c>
      <c r="H458">
        <v>1216.2338103513471</v>
      </c>
      <c r="I458">
        <v>450</v>
      </c>
      <c r="J458">
        <v>-902.84831188797773</v>
      </c>
    </row>
    <row r="459" spans="1:10" x14ac:dyDescent="0.35">
      <c r="A459">
        <v>451</v>
      </c>
      <c r="B459">
        <v>694.40299704569497</v>
      </c>
      <c r="C459">
        <v>451</v>
      </c>
      <c r="D459">
        <v>449.44766301402592</v>
      </c>
      <c r="E459">
        <v>451</v>
      </c>
      <c r="F459">
        <v>87.463440506551507</v>
      </c>
      <c r="G459">
        <v>451</v>
      </c>
      <c r="H459">
        <v>466.99680650416633</v>
      </c>
      <c r="I459">
        <v>451</v>
      </c>
      <c r="J459">
        <v>10.500448681179648</v>
      </c>
    </row>
    <row r="460" spans="1:10" x14ac:dyDescent="0.35">
      <c r="A460">
        <v>452</v>
      </c>
      <c r="B460">
        <v>545.31282433351919</v>
      </c>
      <c r="C460">
        <v>452</v>
      </c>
      <c r="D460">
        <v>532.4525580118742</v>
      </c>
      <c r="E460">
        <v>452</v>
      </c>
      <c r="F460">
        <v>-49.238479807713802</v>
      </c>
      <c r="G460">
        <v>452</v>
      </c>
      <c r="H460">
        <v>-57.625755173003029</v>
      </c>
      <c r="I460">
        <v>452</v>
      </c>
      <c r="J460">
        <v>40.279258497997233</v>
      </c>
    </row>
    <row r="461" spans="1:10" x14ac:dyDescent="0.35">
      <c r="A461">
        <v>453</v>
      </c>
      <c r="B461">
        <v>717.79720863562534</v>
      </c>
      <c r="C461">
        <v>453</v>
      </c>
      <c r="D461">
        <v>544.51037207467152</v>
      </c>
      <c r="E461">
        <v>453</v>
      </c>
      <c r="F461">
        <v>92.566691001673092</v>
      </c>
      <c r="G461">
        <v>453</v>
      </c>
      <c r="H461">
        <v>554.39404767121619</v>
      </c>
      <c r="I461">
        <v>453</v>
      </c>
      <c r="J461">
        <v>-451.14956920153782</v>
      </c>
    </row>
    <row r="462" spans="1:10" x14ac:dyDescent="0.35">
      <c r="A462">
        <v>454</v>
      </c>
      <c r="B462">
        <v>622.59535285277434</v>
      </c>
      <c r="C462">
        <v>454</v>
      </c>
      <c r="D462">
        <v>206.04787267208184</v>
      </c>
      <c r="E462">
        <v>454</v>
      </c>
      <c r="F462">
        <v>404.61887211939052</v>
      </c>
      <c r="G462">
        <v>454</v>
      </c>
      <c r="H462">
        <v>47.179616642705923</v>
      </c>
      <c r="I462">
        <v>454</v>
      </c>
      <c r="J462">
        <v>-183.48711205960922</v>
      </c>
    </row>
    <row r="463" spans="1:10" x14ac:dyDescent="0.35">
      <c r="A463">
        <v>455</v>
      </c>
      <c r="B463">
        <v>302.510843734677</v>
      </c>
      <c r="C463">
        <v>455</v>
      </c>
      <c r="D463">
        <v>396.87974675690049</v>
      </c>
      <c r="E463">
        <v>455</v>
      </c>
      <c r="F463">
        <v>-165.27718375372058</v>
      </c>
      <c r="G463">
        <v>455</v>
      </c>
      <c r="H463">
        <v>518.12551687594623</v>
      </c>
      <c r="I463">
        <v>455</v>
      </c>
      <c r="J463">
        <v>544.91967795118319</v>
      </c>
    </row>
    <row r="464" spans="1:10" x14ac:dyDescent="0.35">
      <c r="A464">
        <v>456</v>
      </c>
      <c r="B464">
        <v>584.0307044327601</v>
      </c>
      <c r="C464">
        <v>456</v>
      </c>
      <c r="D464">
        <v>615.94552324366794</v>
      </c>
      <c r="E464">
        <v>456</v>
      </c>
      <c r="F464">
        <v>408.26677943049009</v>
      </c>
      <c r="G464">
        <v>456</v>
      </c>
      <c r="H464">
        <v>440.50338168149813</v>
      </c>
      <c r="I464">
        <v>456</v>
      </c>
      <c r="J464">
        <v>-509.4338439879366</v>
      </c>
    </row>
    <row r="465" spans="1:10" x14ac:dyDescent="0.35">
      <c r="A465">
        <v>457</v>
      </c>
      <c r="B465">
        <v>504.45203446901007</v>
      </c>
      <c r="C465">
        <v>457</v>
      </c>
      <c r="D465">
        <v>732.46262187348373</v>
      </c>
      <c r="E465">
        <v>457</v>
      </c>
      <c r="F465">
        <v>10.216095483852612</v>
      </c>
      <c r="G465">
        <v>457</v>
      </c>
      <c r="H465">
        <v>495.27825558508857</v>
      </c>
      <c r="I465">
        <v>457</v>
      </c>
      <c r="J465">
        <v>-546.15325938816864</v>
      </c>
    </row>
    <row r="466" spans="1:10" x14ac:dyDescent="0.35">
      <c r="A466">
        <v>458</v>
      </c>
      <c r="B466">
        <v>541.12214941721243</v>
      </c>
      <c r="C466">
        <v>458</v>
      </c>
      <c r="D466">
        <v>467.99856993321907</v>
      </c>
      <c r="E466">
        <v>458</v>
      </c>
      <c r="F466">
        <v>35.284080137007294</v>
      </c>
      <c r="G466">
        <v>458</v>
      </c>
      <c r="H466">
        <v>-349.22554288574673</v>
      </c>
      <c r="I466">
        <v>458</v>
      </c>
      <c r="J466">
        <v>-126.5173564983146</v>
      </c>
    </row>
    <row r="467" spans="1:10" x14ac:dyDescent="0.35">
      <c r="A467">
        <v>459</v>
      </c>
      <c r="B467">
        <v>440.36419341674548</v>
      </c>
      <c r="C467">
        <v>459</v>
      </c>
      <c r="D467">
        <v>596.08755005499131</v>
      </c>
      <c r="E467">
        <v>459</v>
      </c>
      <c r="F467">
        <v>127.50562118848819</v>
      </c>
      <c r="G467">
        <v>459</v>
      </c>
      <c r="H467">
        <v>386.14668433178798</v>
      </c>
      <c r="I467">
        <v>459</v>
      </c>
      <c r="J467">
        <v>-333.13075628081754</v>
      </c>
    </row>
    <row r="468" spans="1:10" x14ac:dyDescent="0.35">
      <c r="A468">
        <v>460</v>
      </c>
      <c r="B468">
        <v>717.78443314635547</v>
      </c>
      <c r="C468">
        <v>460</v>
      </c>
      <c r="D468">
        <v>777.01369858062833</v>
      </c>
      <c r="E468">
        <v>460</v>
      </c>
      <c r="F468">
        <v>-247.07665921373871</v>
      </c>
      <c r="G468">
        <v>460</v>
      </c>
      <c r="H468">
        <v>719.15690044591952</v>
      </c>
      <c r="I468">
        <v>460</v>
      </c>
      <c r="J468">
        <v>-194.69875514664542</v>
      </c>
    </row>
    <row r="469" spans="1:10" x14ac:dyDescent="0.35">
      <c r="A469">
        <v>461</v>
      </c>
      <c r="B469">
        <v>935.92294781865644</v>
      </c>
      <c r="C469">
        <v>461</v>
      </c>
      <c r="D469">
        <v>578.04128745765865</v>
      </c>
      <c r="E469">
        <v>461</v>
      </c>
      <c r="F469">
        <v>-42.562666961479849</v>
      </c>
      <c r="G469">
        <v>461</v>
      </c>
      <c r="H469">
        <v>387.74806176827906</v>
      </c>
      <c r="I469">
        <v>461</v>
      </c>
      <c r="J469">
        <v>-412.88024859037881</v>
      </c>
    </row>
    <row r="470" spans="1:10" x14ac:dyDescent="0.35">
      <c r="A470">
        <v>462</v>
      </c>
      <c r="B470">
        <v>825.7791819030017</v>
      </c>
      <c r="C470">
        <v>462</v>
      </c>
      <c r="D470">
        <v>869.49718612603181</v>
      </c>
      <c r="E470">
        <v>462</v>
      </c>
      <c r="F470">
        <v>-168.97719614547171</v>
      </c>
      <c r="G470">
        <v>462</v>
      </c>
      <c r="H470">
        <v>504.37740395697483</v>
      </c>
      <c r="I470">
        <v>462</v>
      </c>
      <c r="J470">
        <v>37.158186861981477</v>
      </c>
    </row>
    <row r="471" spans="1:10" x14ac:dyDescent="0.35">
      <c r="A471">
        <v>463</v>
      </c>
      <c r="B471">
        <v>439.00892646145917</v>
      </c>
      <c r="C471">
        <v>463</v>
      </c>
      <c r="D471">
        <v>1186.7857286350636</v>
      </c>
      <c r="E471">
        <v>463</v>
      </c>
      <c r="F471">
        <v>314.37925590106136</v>
      </c>
      <c r="G471">
        <v>463</v>
      </c>
      <c r="H471">
        <v>513.22725774056357</v>
      </c>
      <c r="I471">
        <v>463</v>
      </c>
      <c r="J471">
        <v>-394.7507838822761</v>
      </c>
    </row>
    <row r="472" spans="1:10" x14ac:dyDescent="0.35">
      <c r="A472">
        <v>464</v>
      </c>
      <c r="B472">
        <v>697.67499057460418</v>
      </c>
      <c r="C472">
        <v>464</v>
      </c>
      <c r="D472">
        <v>549.24467207181578</v>
      </c>
      <c r="E472">
        <v>464</v>
      </c>
      <c r="F472">
        <v>-8.0496806730519239</v>
      </c>
      <c r="G472">
        <v>464</v>
      </c>
      <c r="H472">
        <v>854.94535689133488</v>
      </c>
      <c r="I472">
        <v>464</v>
      </c>
      <c r="J472">
        <v>45.301955795521451</v>
      </c>
    </row>
    <row r="473" spans="1:10" x14ac:dyDescent="0.35">
      <c r="A473">
        <v>465</v>
      </c>
      <c r="B473">
        <v>796.84848065359677</v>
      </c>
      <c r="C473">
        <v>465</v>
      </c>
      <c r="D473">
        <v>653.62457223848651</v>
      </c>
      <c r="E473">
        <v>465</v>
      </c>
      <c r="F473">
        <v>11.509310450416635</v>
      </c>
      <c r="G473">
        <v>465</v>
      </c>
      <c r="H473">
        <v>13.309925740026529</v>
      </c>
      <c r="I473">
        <v>465</v>
      </c>
      <c r="J473">
        <v>-292.12783385044327</v>
      </c>
    </row>
    <row r="474" spans="1:10" x14ac:dyDescent="0.35">
      <c r="A474">
        <v>466</v>
      </c>
      <c r="B474">
        <v>268.71019565851958</v>
      </c>
      <c r="C474">
        <v>466</v>
      </c>
      <c r="D474">
        <v>583.12033047691648</v>
      </c>
      <c r="E474">
        <v>466</v>
      </c>
      <c r="F474">
        <v>-51.058175260793462</v>
      </c>
      <c r="G474">
        <v>466</v>
      </c>
      <c r="H474">
        <v>771.7389557490128</v>
      </c>
      <c r="I474">
        <v>466</v>
      </c>
      <c r="J474">
        <v>-545.15209186363847</v>
      </c>
    </row>
    <row r="475" spans="1:10" x14ac:dyDescent="0.35">
      <c r="A475">
        <v>467</v>
      </c>
      <c r="B475">
        <v>641.55266213887467</v>
      </c>
      <c r="C475">
        <v>467</v>
      </c>
      <c r="D475">
        <v>525.20246723165712</v>
      </c>
      <c r="E475">
        <v>467</v>
      </c>
      <c r="F475">
        <v>-147.16552113798934</v>
      </c>
      <c r="G475">
        <v>467</v>
      </c>
      <c r="H475">
        <v>342.11282169598093</v>
      </c>
      <c r="I475">
        <v>467</v>
      </c>
      <c r="J475">
        <v>-395.09623304391397</v>
      </c>
    </row>
    <row r="476" spans="1:10" x14ac:dyDescent="0.35">
      <c r="A476">
        <v>468</v>
      </c>
      <c r="B476">
        <v>580.58226642075545</v>
      </c>
      <c r="C476">
        <v>468</v>
      </c>
      <c r="D476">
        <v>358.98771706148659</v>
      </c>
      <c r="E476">
        <v>468</v>
      </c>
      <c r="F476">
        <v>21.059234048060034</v>
      </c>
      <c r="G476">
        <v>468</v>
      </c>
      <c r="H476">
        <v>844.35875211192251</v>
      </c>
      <c r="I476">
        <v>468</v>
      </c>
      <c r="J476">
        <v>158.89041274175833</v>
      </c>
    </row>
    <row r="477" spans="1:10" x14ac:dyDescent="0.35">
      <c r="A477">
        <v>469</v>
      </c>
      <c r="B477">
        <v>934.56638283930874</v>
      </c>
      <c r="C477">
        <v>469</v>
      </c>
      <c r="D477">
        <v>365.91949639381266</v>
      </c>
      <c r="E477">
        <v>469</v>
      </c>
      <c r="F477">
        <v>-240.70666503596499</v>
      </c>
      <c r="G477">
        <v>469</v>
      </c>
      <c r="H477">
        <v>123.18483776729266</v>
      </c>
      <c r="I477">
        <v>469</v>
      </c>
      <c r="J477">
        <v>54.246710076604245</v>
      </c>
    </row>
    <row r="478" spans="1:10" x14ac:dyDescent="0.35">
      <c r="A478">
        <v>470</v>
      </c>
      <c r="B478">
        <v>415.79153298176811</v>
      </c>
      <c r="C478">
        <v>470</v>
      </c>
      <c r="D478">
        <v>460.92660815641739</v>
      </c>
      <c r="E478">
        <v>470</v>
      </c>
      <c r="F478">
        <v>107.10268097597483</v>
      </c>
      <c r="G478">
        <v>470</v>
      </c>
      <c r="H478">
        <v>143.9895982490799</v>
      </c>
      <c r="I478">
        <v>470</v>
      </c>
      <c r="J478">
        <v>-381.20263450602192</v>
      </c>
    </row>
    <row r="479" spans="1:10" x14ac:dyDescent="0.35">
      <c r="A479">
        <v>471</v>
      </c>
      <c r="B479">
        <v>707.23766606125218</v>
      </c>
      <c r="C479">
        <v>471</v>
      </c>
      <c r="D479">
        <v>793.12058757999648</v>
      </c>
      <c r="E479">
        <v>471</v>
      </c>
      <c r="F479">
        <v>22.081361886097923</v>
      </c>
      <c r="G479">
        <v>471</v>
      </c>
      <c r="H479">
        <v>1376.7824989129065</v>
      </c>
      <c r="I479">
        <v>471</v>
      </c>
      <c r="J479">
        <v>-405.74758435356836</v>
      </c>
    </row>
    <row r="480" spans="1:10" x14ac:dyDescent="0.35">
      <c r="A480">
        <v>472</v>
      </c>
      <c r="B480">
        <v>636.95054628510229</v>
      </c>
      <c r="C480">
        <v>472</v>
      </c>
      <c r="D480">
        <v>490.08472343959545</v>
      </c>
      <c r="E480">
        <v>472</v>
      </c>
      <c r="F480">
        <v>29.629568953864087</v>
      </c>
      <c r="G480">
        <v>472</v>
      </c>
      <c r="H480">
        <v>527.19932412256117</v>
      </c>
      <c r="I480">
        <v>472</v>
      </c>
      <c r="J480">
        <v>-134.4336092472044</v>
      </c>
    </row>
    <row r="481" spans="1:10" x14ac:dyDescent="0.35">
      <c r="A481">
        <v>473</v>
      </c>
      <c r="B481">
        <v>646.57518140306865</v>
      </c>
      <c r="C481">
        <v>473</v>
      </c>
      <c r="D481">
        <v>733.87219712385127</v>
      </c>
      <c r="E481">
        <v>473</v>
      </c>
      <c r="F481">
        <v>194.80346463112397</v>
      </c>
      <c r="G481">
        <v>473</v>
      </c>
      <c r="H481">
        <v>731.93810995989361</v>
      </c>
      <c r="I481">
        <v>473</v>
      </c>
      <c r="J481">
        <v>-90.466937903193042</v>
      </c>
    </row>
    <row r="482" spans="1:10" x14ac:dyDescent="0.35">
      <c r="A482">
        <v>474</v>
      </c>
      <c r="B482">
        <v>353.10112844847424</v>
      </c>
      <c r="C482">
        <v>474</v>
      </c>
      <c r="D482">
        <v>782.15336086927971</v>
      </c>
      <c r="E482">
        <v>474</v>
      </c>
      <c r="F482">
        <v>166.89528788437164</v>
      </c>
      <c r="G482">
        <v>474</v>
      </c>
      <c r="H482">
        <v>488.8788907079898</v>
      </c>
      <c r="I482">
        <v>474</v>
      </c>
      <c r="J482">
        <v>-395.76100931109067</v>
      </c>
    </row>
    <row r="483" spans="1:10" x14ac:dyDescent="0.35">
      <c r="A483">
        <v>475</v>
      </c>
      <c r="B483">
        <v>657.22697042644018</v>
      </c>
      <c r="C483">
        <v>475</v>
      </c>
      <c r="D483">
        <v>512.32986398051617</v>
      </c>
      <c r="E483">
        <v>475</v>
      </c>
      <c r="F483">
        <v>131.44244047012802</v>
      </c>
      <c r="G483">
        <v>475</v>
      </c>
      <c r="H483">
        <v>752.53293575832276</v>
      </c>
      <c r="I483">
        <v>475</v>
      </c>
      <c r="J483">
        <v>-526.92240980499037</v>
      </c>
    </row>
    <row r="484" spans="1:10" x14ac:dyDescent="0.35">
      <c r="A484">
        <v>476</v>
      </c>
      <c r="B484">
        <v>696.34187925929677</v>
      </c>
      <c r="C484">
        <v>476</v>
      </c>
      <c r="D484">
        <v>447.83321575284475</v>
      </c>
      <c r="E484">
        <v>476</v>
      </c>
      <c r="F484">
        <v>54.821401350567669</v>
      </c>
      <c r="G484">
        <v>476</v>
      </c>
      <c r="H484">
        <v>403.98359056379678</v>
      </c>
      <c r="I484">
        <v>476</v>
      </c>
      <c r="J484">
        <v>-428.87277070092762</v>
      </c>
    </row>
    <row r="485" spans="1:10" x14ac:dyDescent="0.35">
      <c r="A485">
        <v>477</v>
      </c>
      <c r="B485">
        <v>1015.9419724474587</v>
      </c>
      <c r="C485">
        <v>477</v>
      </c>
      <c r="D485">
        <v>566.43759373446562</v>
      </c>
      <c r="E485">
        <v>477</v>
      </c>
      <c r="F485">
        <v>-337.18911671543589</v>
      </c>
      <c r="G485">
        <v>477</v>
      </c>
      <c r="H485">
        <v>111.50251018281153</v>
      </c>
      <c r="I485">
        <v>477</v>
      </c>
      <c r="J485">
        <v>182.28831474591772</v>
      </c>
    </row>
    <row r="486" spans="1:10" x14ac:dyDescent="0.35">
      <c r="A486">
        <v>478</v>
      </c>
      <c r="B486">
        <v>664.89208227133918</v>
      </c>
      <c r="C486">
        <v>478</v>
      </c>
      <c r="D486">
        <v>790.3918347991721</v>
      </c>
      <c r="E486">
        <v>478</v>
      </c>
      <c r="F486">
        <v>123.54978379655711</v>
      </c>
      <c r="G486">
        <v>478</v>
      </c>
      <c r="H486">
        <v>263.58106917577794</v>
      </c>
      <c r="I486">
        <v>478</v>
      </c>
      <c r="J486">
        <v>-410.23744538445908</v>
      </c>
    </row>
    <row r="487" spans="1:10" x14ac:dyDescent="0.35">
      <c r="A487">
        <v>479</v>
      </c>
      <c r="B487">
        <v>542.83005354724321</v>
      </c>
      <c r="C487">
        <v>479</v>
      </c>
      <c r="D487">
        <v>492.04222194373011</v>
      </c>
      <c r="E487">
        <v>479</v>
      </c>
      <c r="F487">
        <v>529.24945269754812</v>
      </c>
      <c r="G487">
        <v>479</v>
      </c>
      <c r="H487">
        <v>398.46179784808328</v>
      </c>
      <c r="I487">
        <v>479</v>
      </c>
      <c r="J487">
        <v>-429.38830351770656</v>
      </c>
    </row>
    <row r="488" spans="1:10" x14ac:dyDescent="0.35">
      <c r="A488">
        <v>480</v>
      </c>
      <c r="B488">
        <v>321.31001747893788</v>
      </c>
      <c r="C488">
        <v>480</v>
      </c>
      <c r="D488">
        <v>892.84814340323305</v>
      </c>
      <c r="E488">
        <v>480</v>
      </c>
      <c r="F488">
        <v>84.351908415091103</v>
      </c>
      <c r="G488">
        <v>480</v>
      </c>
      <c r="H488">
        <v>557.43824316929317</v>
      </c>
      <c r="I488">
        <v>480</v>
      </c>
      <c r="J488">
        <v>461.99963745346258</v>
      </c>
    </row>
    <row r="489" spans="1:10" x14ac:dyDescent="0.35">
      <c r="A489">
        <v>481</v>
      </c>
      <c r="B489">
        <v>660.52883261222303</v>
      </c>
      <c r="C489">
        <v>481</v>
      </c>
      <c r="D489">
        <v>760.11526396129011</v>
      </c>
      <c r="E489">
        <v>481</v>
      </c>
      <c r="F489">
        <v>369.92264637605996</v>
      </c>
      <c r="G489">
        <v>481</v>
      </c>
      <c r="H489">
        <v>666.95702312493177</v>
      </c>
      <c r="I489">
        <v>481</v>
      </c>
      <c r="J489">
        <v>-125.08658875363584</v>
      </c>
    </row>
    <row r="490" spans="1:10" x14ac:dyDescent="0.35">
      <c r="A490">
        <v>482</v>
      </c>
      <c r="B490">
        <v>740.75446432464616</v>
      </c>
      <c r="C490">
        <v>482</v>
      </c>
      <c r="D490">
        <v>793.61535459448214</v>
      </c>
      <c r="E490">
        <v>482</v>
      </c>
      <c r="F490">
        <v>262.6034451589851</v>
      </c>
      <c r="G490">
        <v>482</v>
      </c>
      <c r="H490">
        <v>206.88365551114538</v>
      </c>
      <c r="I490">
        <v>482</v>
      </c>
      <c r="J490">
        <v>-293.72205806006519</v>
      </c>
    </row>
    <row r="491" spans="1:10" x14ac:dyDescent="0.35">
      <c r="A491">
        <v>483</v>
      </c>
      <c r="B491">
        <v>410.33606841565893</v>
      </c>
      <c r="C491">
        <v>483</v>
      </c>
      <c r="D491">
        <v>251.88253404489308</v>
      </c>
      <c r="E491">
        <v>483</v>
      </c>
      <c r="F491">
        <v>193.35194166688893</v>
      </c>
      <c r="G491">
        <v>483</v>
      </c>
      <c r="H491">
        <v>396.09283157018859</v>
      </c>
      <c r="I491">
        <v>483</v>
      </c>
      <c r="J491">
        <v>-118.14244074856944</v>
      </c>
    </row>
    <row r="492" spans="1:10" x14ac:dyDescent="0.35">
      <c r="A492">
        <v>484</v>
      </c>
      <c r="B492">
        <v>293.43999598327338</v>
      </c>
      <c r="C492">
        <v>484</v>
      </c>
      <c r="D492">
        <v>580.38365447928379</v>
      </c>
      <c r="E492">
        <v>484</v>
      </c>
      <c r="F492">
        <v>-337.69485421760612</v>
      </c>
      <c r="G492">
        <v>484</v>
      </c>
      <c r="H492">
        <v>806.52401203785075</v>
      </c>
      <c r="I492">
        <v>484</v>
      </c>
      <c r="J492">
        <v>205.09537471184939</v>
      </c>
    </row>
    <row r="493" spans="1:10" x14ac:dyDescent="0.35">
      <c r="A493">
        <v>485</v>
      </c>
      <c r="B493">
        <v>829.80802651477438</v>
      </c>
      <c r="C493">
        <v>485</v>
      </c>
      <c r="D493">
        <v>483.34647431430631</v>
      </c>
      <c r="E493">
        <v>485</v>
      </c>
      <c r="F493">
        <v>403.55089840779249</v>
      </c>
      <c r="G493">
        <v>485</v>
      </c>
      <c r="H493">
        <v>715.37260066314298</v>
      </c>
      <c r="I493">
        <v>485</v>
      </c>
      <c r="J493">
        <v>-102.93309465159379</v>
      </c>
    </row>
    <row r="494" spans="1:10" x14ac:dyDescent="0.35">
      <c r="A494">
        <v>486</v>
      </c>
      <c r="B494">
        <v>485.47553330464189</v>
      </c>
      <c r="C494">
        <v>486</v>
      </c>
      <c r="D494">
        <v>1050.9823381270353</v>
      </c>
      <c r="E494">
        <v>486</v>
      </c>
      <c r="F494">
        <v>-424.21560225744219</v>
      </c>
      <c r="G494">
        <v>486</v>
      </c>
      <c r="H494">
        <v>-135.91879144470198</v>
      </c>
      <c r="I494">
        <v>486</v>
      </c>
      <c r="J494">
        <v>-477.39498773854564</v>
      </c>
    </row>
    <row r="495" spans="1:10" x14ac:dyDescent="0.35">
      <c r="A495">
        <v>487</v>
      </c>
      <c r="B495">
        <v>704.96944946531198</v>
      </c>
      <c r="C495">
        <v>487</v>
      </c>
      <c r="D495">
        <v>417.76978922497574</v>
      </c>
      <c r="E495">
        <v>487</v>
      </c>
      <c r="F495">
        <v>130.41936450917609</v>
      </c>
      <c r="G495">
        <v>487</v>
      </c>
      <c r="H495">
        <v>993.00884174496878</v>
      </c>
      <c r="I495">
        <v>487</v>
      </c>
      <c r="J495">
        <v>-91.907692642723489</v>
      </c>
    </row>
    <row r="496" spans="1:10" x14ac:dyDescent="0.35">
      <c r="A496">
        <v>488</v>
      </c>
      <c r="B496">
        <v>663.08747702267794</v>
      </c>
      <c r="C496">
        <v>488</v>
      </c>
      <c r="D496">
        <v>751.52884099432276</v>
      </c>
      <c r="E496">
        <v>488</v>
      </c>
      <c r="F496">
        <v>-14.712392574594716</v>
      </c>
      <c r="G496">
        <v>488</v>
      </c>
      <c r="H496">
        <v>1053.8802736274135</v>
      </c>
      <c r="I496">
        <v>488</v>
      </c>
      <c r="J496">
        <v>-627.94748419057601</v>
      </c>
    </row>
    <row r="497" spans="1:10" x14ac:dyDescent="0.35">
      <c r="A497">
        <v>489</v>
      </c>
      <c r="B497">
        <v>421.25620147984387</v>
      </c>
      <c r="C497">
        <v>489</v>
      </c>
      <c r="D497">
        <v>445.50961200652733</v>
      </c>
      <c r="E497">
        <v>489</v>
      </c>
      <c r="F497">
        <v>271.29498249302128</v>
      </c>
      <c r="G497">
        <v>489</v>
      </c>
      <c r="H497">
        <v>684.98905167650923</v>
      </c>
      <c r="I497">
        <v>489</v>
      </c>
      <c r="J497">
        <v>-201.1016136774187</v>
      </c>
    </row>
    <row r="498" spans="1:10" x14ac:dyDescent="0.35">
      <c r="A498">
        <v>490</v>
      </c>
      <c r="B498">
        <v>481.25746364657721</v>
      </c>
      <c r="C498">
        <v>490</v>
      </c>
      <c r="D498">
        <v>541.50144500068313</v>
      </c>
      <c r="E498">
        <v>490</v>
      </c>
      <c r="F498">
        <v>-8.1346094888653369</v>
      </c>
      <c r="G498">
        <v>490</v>
      </c>
      <c r="H498">
        <v>479.44103511320367</v>
      </c>
      <c r="I498">
        <v>490</v>
      </c>
      <c r="J498">
        <v>197.39756492297528</v>
      </c>
    </row>
    <row r="499" spans="1:10" x14ac:dyDescent="0.35">
      <c r="A499">
        <v>491</v>
      </c>
      <c r="B499">
        <v>102.63575310037982</v>
      </c>
      <c r="C499">
        <v>491</v>
      </c>
      <c r="D499">
        <v>563.5814108743042</v>
      </c>
      <c r="E499">
        <v>491</v>
      </c>
      <c r="F499">
        <v>50.022005760803509</v>
      </c>
      <c r="G499">
        <v>491</v>
      </c>
      <c r="H499">
        <v>610.55837686143502</v>
      </c>
      <c r="I499">
        <v>491</v>
      </c>
      <c r="J499">
        <v>-82.059483521332794</v>
      </c>
    </row>
    <row r="500" spans="1:10" x14ac:dyDescent="0.35">
      <c r="A500">
        <v>492</v>
      </c>
      <c r="B500">
        <v>642.08529159005536</v>
      </c>
      <c r="C500">
        <v>492</v>
      </c>
      <c r="D500">
        <v>687.56801935594956</v>
      </c>
      <c r="E500">
        <v>492</v>
      </c>
      <c r="F500">
        <v>-333.76197925388294</v>
      </c>
      <c r="G500">
        <v>492</v>
      </c>
      <c r="H500">
        <v>705.20515934549508</v>
      </c>
      <c r="I500">
        <v>492</v>
      </c>
      <c r="J500">
        <v>-509.44717314568732</v>
      </c>
    </row>
    <row r="501" spans="1:10" x14ac:dyDescent="0.35">
      <c r="A501">
        <v>493</v>
      </c>
      <c r="B501">
        <v>646.78157865129288</v>
      </c>
      <c r="C501">
        <v>493</v>
      </c>
      <c r="D501">
        <v>536.80997187801586</v>
      </c>
      <c r="E501">
        <v>493</v>
      </c>
      <c r="F501">
        <v>318.38486080980306</v>
      </c>
      <c r="G501">
        <v>493</v>
      </c>
      <c r="H501">
        <v>5.7511446307839265</v>
      </c>
      <c r="I501">
        <v>493</v>
      </c>
      <c r="J501">
        <v>-702.05479801172373</v>
      </c>
    </row>
    <row r="502" spans="1:10" x14ac:dyDescent="0.35">
      <c r="A502">
        <v>494</v>
      </c>
      <c r="B502">
        <v>774.18853287263914</v>
      </c>
      <c r="C502">
        <v>494</v>
      </c>
      <c r="D502">
        <v>1048.1224975749878</v>
      </c>
      <c r="E502">
        <v>494</v>
      </c>
      <c r="F502">
        <v>645.81267370418698</v>
      </c>
      <c r="G502">
        <v>494</v>
      </c>
      <c r="H502">
        <v>542.43612470917992</v>
      </c>
      <c r="I502">
        <v>494</v>
      </c>
      <c r="J502">
        <v>-512.78600725255524</v>
      </c>
    </row>
    <row r="503" spans="1:10" x14ac:dyDescent="0.35">
      <c r="A503">
        <v>495</v>
      </c>
      <c r="B503">
        <v>656.37521066171792</v>
      </c>
      <c r="C503">
        <v>495</v>
      </c>
      <c r="D503">
        <v>569.92351286100291</v>
      </c>
      <c r="E503">
        <v>495</v>
      </c>
      <c r="F503">
        <v>214.35073313348136</v>
      </c>
      <c r="G503">
        <v>495</v>
      </c>
      <c r="H503">
        <v>320.97330883707684</v>
      </c>
      <c r="I503">
        <v>495</v>
      </c>
      <c r="J503">
        <v>285.82138982476511</v>
      </c>
    </row>
    <row r="504" spans="1:10" x14ac:dyDescent="0.35">
      <c r="A504">
        <v>496</v>
      </c>
      <c r="B504">
        <v>702.30752213842186</v>
      </c>
      <c r="C504">
        <v>496</v>
      </c>
      <c r="D504">
        <v>396.54300100614398</v>
      </c>
      <c r="E504">
        <v>496</v>
      </c>
      <c r="F504">
        <v>277.68211874100291</v>
      </c>
      <c r="G504">
        <v>496</v>
      </c>
      <c r="H504">
        <v>-133.0340056001267</v>
      </c>
      <c r="I504">
        <v>496</v>
      </c>
      <c r="J504">
        <v>-16.943199080332818</v>
      </c>
    </row>
    <row r="505" spans="1:10" x14ac:dyDescent="0.35">
      <c r="A505">
        <v>497</v>
      </c>
      <c r="B505">
        <v>691.48172194811514</v>
      </c>
      <c r="C505">
        <v>497</v>
      </c>
      <c r="D505">
        <v>823.02878064045888</v>
      </c>
      <c r="E505">
        <v>497</v>
      </c>
      <c r="F505">
        <v>-487.31893124805811</v>
      </c>
      <c r="G505">
        <v>497</v>
      </c>
      <c r="H505">
        <v>720.56193711030983</v>
      </c>
      <c r="I505">
        <v>497</v>
      </c>
      <c r="J505">
        <v>-131.6557823726867</v>
      </c>
    </row>
    <row r="506" spans="1:10" x14ac:dyDescent="0.35">
      <c r="A506">
        <v>498</v>
      </c>
      <c r="B506">
        <v>649.04727956348313</v>
      </c>
      <c r="C506">
        <v>498</v>
      </c>
      <c r="D506">
        <v>522.4708040344874</v>
      </c>
      <c r="E506">
        <v>498</v>
      </c>
      <c r="F506">
        <v>12.527460506597407</v>
      </c>
      <c r="G506">
        <v>498</v>
      </c>
      <c r="H506">
        <v>317.5973132563791</v>
      </c>
      <c r="I506">
        <v>498</v>
      </c>
      <c r="J506">
        <v>-504.96686502316868</v>
      </c>
    </row>
    <row r="507" spans="1:10" x14ac:dyDescent="0.35">
      <c r="A507">
        <v>499</v>
      </c>
      <c r="B507">
        <v>1144.659140097614</v>
      </c>
      <c r="C507">
        <v>499</v>
      </c>
      <c r="D507">
        <v>493.17979990441643</v>
      </c>
      <c r="E507">
        <v>499</v>
      </c>
      <c r="F507">
        <v>367.98983448107765</v>
      </c>
      <c r="G507">
        <v>499</v>
      </c>
      <c r="H507">
        <v>928.82042142496277</v>
      </c>
      <c r="I507">
        <v>499</v>
      </c>
      <c r="J507">
        <v>61.450722098738765</v>
      </c>
    </row>
    <row r="508" spans="1:10" x14ac:dyDescent="0.35">
      <c r="A508">
        <v>500</v>
      </c>
      <c r="B508">
        <v>630.04743023015965</v>
      </c>
      <c r="C508">
        <v>500</v>
      </c>
      <c r="D508">
        <v>881.73912963358566</v>
      </c>
      <c r="E508">
        <v>500</v>
      </c>
      <c r="F508">
        <v>39.674579382036754</v>
      </c>
      <c r="G508">
        <v>500</v>
      </c>
      <c r="H508">
        <v>189.19911361486538</v>
      </c>
      <c r="I508">
        <v>500</v>
      </c>
      <c r="J508">
        <v>375.5944150737854</v>
      </c>
    </row>
    <row r="509" spans="1:10" x14ac:dyDescent="0.35">
      <c r="A509">
        <v>501</v>
      </c>
      <c r="B509">
        <v>450.76833344869465</v>
      </c>
      <c r="C509">
        <v>501</v>
      </c>
      <c r="D509">
        <v>548.98344678171077</v>
      </c>
      <c r="E509">
        <v>501</v>
      </c>
      <c r="F509">
        <v>-90.07033671067731</v>
      </c>
      <c r="G509">
        <v>501</v>
      </c>
      <c r="H509">
        <v>-72.558978875084051</v>
      </c>
      <c r="I509">
        <v>501</v>
      </c>
      <c r="J509">
        <v>31.808707628263136</v>
      </c>
    </row>
    <row r="510" spans="1:10" x14ac:dyDescent="0.35">
      <c r="A510">
        <v>502</v>
      </c>
      <c r="B510">
        <v>464.29596081808722</v>
      </c>
      <c r="C510">
        <v>502</v>
      </c>
      <c r="D510">
        <v>607.98557592932616</v>
      </c>
      <c r="E510">
        <v>502</v>
      </c>
      <c r="F510">
        <v>-91.033736937601304</v>
      </c>
      <c r="G510">
        <v>502</v>
      </c>
      <c r="H510">
        <v>239.49264875762637</v>
      </c>
      <c r="I510">
        <v>502</v>
      </c>
      <c r="J510">
        <v>-49.977280033116756</v>
      </c>
    </row>
    <row r="511" spans="1:10" x14ac:dyDescent="0.35">
      <c r="A511">
        <v>503</v>
      </c>
      <c r="B511">
        <v>298.90795007625985</v>
      </c>
      <c r="C511">
        <v>503</v>
      </c>
      <c r="D511">
        <v>822.55123423766076</v>
      </c>
      <c r="E511">
        <v>503</v>
      </c>
      <c r="F511">
        <v>95.33433581899564</v>
      </c>
      <c r="G511">
        <v>503</v>
      </c>
      <c r="H511">
        <v>125.82825929465582</v>
      </c>
      <c r="I511">
        <v>503</v>
      </c>
      <c r="J511">
        <v>-124.79417221733668</v>
      </c>
    </row>
    <row r="512" spans="1:10" x14ac:dyDescent="0.35">
      <c r="A512">
        <v>504</v>
      </c>
      <c r="B512">
        <v>745.9124161324271</v>
      </c>
      <c r="C512">
        <v>504</v>
      </c>
      <c r="D512">
        <v>734.21254002399201</v>
      </c>
      <c r="E512">
        <v>504</v>
      </c>
      <c r="F512">
        <v>-210.39873469758629</v>
      </c>
      <c r="G512">
        <v>504</v>
      </c>
      <c r="H512">
        <v>674.15858287731032</v>
      </c>
      <c r="I512">
        <v>504</v>
      </c>
      <c r="J512">
        <v>-83.493823369107517</v>
      </c>
    </row>
    <row r="513" spans="1:10" x14ac:dyDescent="0.35">
      <c r="A513">
        <v>505</v>
      </c>
      <c r="B513">
        <v>227.74119614849457</v>
      </c>
      <c r="C513">
        <v>505</v>
      </c>
      <c r="D513">
        <v>637.64679495078815</v>
      </c>
      <c r="E513">
        <v>505</v>
      </c>
      <c r="F513">
        <v>264.84351334835731</v>
      </c>
      <c r="G513">
        <v>505</v>
      </c>
      <c r="H513">
        <v>-117.25104057808966</v>
      </c>
      <c r="I513">
        <v>505</v>
      </c>
      <c r="J513">
        <v>10.490731981520639</v>
      </c>
    </row>
    <row r="514" spans="1:10" x14ac:dyDescent="0.35">
      <c r="A514">
        <v>506</v>
      </c>
      <c r="B514">
        <v>973.64227852857391</v>
      </c>
      <c r="C514">
        <v>506</v>
      </c>
      <c r="D514">
        <v>610.19176712712238</v>
      </c>
      <c r="E514">
        <v>506</v>
      </c>
      <c r="F514">
        <v>446.38344571049532</v>
      </c>
      <c r="G514">
        <v>506</v>
      </c>
      <c r="H514">
        <v>863.27041043232862</v>
      </c>
      <c r="I514">
        <v>506</v>
      </c>
      <c r="J514">
        <v>-184.38098120623303</v>
      </c>
    </row>
    <row r="515" spans="1:10" x14ac:dyDescent="0.35">
      <c r="A515">
        <v>507</v>
      </c>
      <c r="B515">
        <v>711.18657034877151</v>
      </c>
      <c r="C515">
        <v>507</v>
      </c>
      <c r="D515">
        <v>932.96230774560763</v>
      </c>
      <c r="E515">
        <v>507</v>
      </c>
      <c r="F515">
        <v>-321.71665947475651</v>
      </c>
      <c r="G515">
        <v>507</v>
      </c>
      <c r="H515">
        <v>768.76085347502601</v>
      </c>
      <c r="I515">
        <v>507</v>
      </c>
      <c r="J515">
        <v>-486.2499188505825</v>
      </c>
    </row>
    <row r="516" spans="1:10" x14ac:dyDescent="0.35">
      <c r="A516">
        <v>508</v>
      </c>
      <c r="B516">
        <v>651.7280438650447</v>
      </c>
      <c r="C516">
        <v>508</v>
      </c>
      <c r="D516">
        <v>388.72837208061571</v>
      </c>
      <c r="E516">
        <v>508</v>
      </c>
      <c r="F516">
        <v>248.85414126786182</v>
      </c>
      <c r="G516">
        <v>508</v>
      </c>
      <c r="H516">
        <v>987.67590725733885</v>
      </c>
      <c r="I516">
        <v>508</v>
      </c>
      <c r="J516">
        <v>-150.54447973407761</v>
      </c>
    </row>
    <row r="517" spans="1:10" x14ac:dyDescent="0.35">
      <c r="A517">
        <v>509</v>
      </c>
      <c r="B517">
        <v>682.7707799679265</v>
      </c>
      <c r="C517">
        <v>509</v>
      </c>
      <c r="D517">
        <v>579.99366325183371</v>
      </c>
      <c r="E517">
        <v>509</v>
      </c>
      <c r="F517">
        <v>-29.96457729144953</v>
      </c>
      <c r="G517">
        <v>509</v>
      </c>
      <c r="H517">
        <v>-185.34382725610743</v>
      </c>
      <c r="I517">
        <v>509</v>
      </c>
      <c r="J517">
        <v>-490.11040009101851</v>
      </c>
    </row>
    <row r="518" spans="1:10" x14ac:dyDescent="0.35">
      <c r="A518">
        <v>510</v>
      </c>
      <c r="B518">
        <v>502.50270602580628</v>
      </c>
      <c r="C518">
        <v>510</v>
      </c>
      <c r="D518">
        <v>612.62574098796244</v>
      </c>
      <c r="E518">
        <v>510</v>
      </c>
      <c r="F518">
        <v>241.68511252891287</v>
      </c>
      <c r="G518">
        <v>510</v>
      </c>
      <c r="H518">
        <v>223.05836401611489</v>
      </c>
      <c r="I518">
        <v>510</v>
      </c>
      <c r="J518">
        <v>142.84564660477702</v>
      </c>
    </row>
    <row r="519" spans="1:10" x14ac:dyDescent="0.35">
      <c r="A519">
        <v>511</v>
      </c>
      <c r="B519">
        <v>821.87916670718221</v>
      </c>
      <c r="C519">
        <v>511</v>
      </c>
      <c r="D519">
        <v>241.98430100223317</v>
      </c>
      <c r="E519">
        <v>511</v>
      </c>
      <c r="F519">
        <v>-156.51832615119278</v>
      </c>
      <c r="G519">
        <v>511</v>
      </c>
      <c r="H519">
        <v>1267.2800583350961</v>
      </c>
      <c r="I519">
        <v>511</v>
      </c>
      <c r="J519">
        <v>514.92246678021741</v>
      </c>
    </row>
    <row r="520" spans="1:10" x14ac:dyDescent="0.35">
      <c r="A520">
        <v>512</v>
      </c>
      <c r="B520">
        <v>949.69794189615516</v>
      </c>
      <c r="C520">
        <v>512</v>
      </c>
      <c r="D520">
        <v>779.0269815167328</v>
      </c>
      <c r="E520">
        <v>512</v>
      </c>
      <c r="F520">
        <v>38.279946322583186</v>
      </c>
      <c r="G520">
        <v>512</v>
      </c>
      <c r="H520">
        <v>-218.17339438339246</v>
      </c>
      <c r="I520">
        <v>512</v>
      </c>
      <c r="J520">
        <v>-902.97709089356454</v>
      </c>
    </row>
    <row r="521" spans="1:10" x14ac:dyDescent="0.35">
      <c r="A521">
        <v>513</v>
      </c>
      <c r="B521">
        <v>868.09620110158596</v>
      </c>
      <c r="C521">
        <v>513</v>
      </c>
      <c r="D521">
        <v>670.9039897399125</v>
      </c>
      <c r="E521">
        <v>513</v>
      </c>
      <c r="F521">
        <v>385.83688025452824</v>
      </c>
      <c r="G521">
        <v>513</v>
      </c>
      <c r="H521">
        <v>111.5199043600428</v>
      </c>
      <c r="I521">
        <v>513</v>
      </c>
      <c r="J521">
        <v>-244.40218831067062</v>
      </c>
    </row>
    <row r="522" spans="1:10" x14ac:dyDescent="0.35">
      <c r="A522">
        <v>514</v>
      </c>
      <c r="B522">
        <v>554.23729906240146</v>
      </c>
      <c r="C522">
        <v>514</v>
      </c>
      <c r="D522">
        <v>637.03598992786681</v>
      </c>
      <c r="E522">
        <v>514</v>
      </c>
      <c r="F522">
        <v>245.2806360973382</v>
      </c>
      <c r="G522">
        <v>514</v>
      </c>
      <c r="H522">
        <v>193.64781931642977</v>
      </c>
      <c r="I522">
        <v>514</v>
      </c>
      <c r="J522">
        <v>-173.19705366959721</v>
      </c>
    </row>
    <row r="523" spans="1:10" x14ac:dyDescent="0.35">
      <c r="A523">
        <v>515</v>
      </c>
      <c r="B523">
        <v>969.70651944857264</v>
      </c>
      <c r="C523">
        <v>515</v>
      </c>
      <c r="D523">
        <v>741.47988541678865</v>
      </c>
      <c r="E523">
        <v>515</v>
      </c>
      <c r="F523">
        <v>118.41300572494323</v>
      </c>
      <c r="G523">
        <v>515</v>
      </c>
      <c r="H523">
        <v>302.35753143350928</v>
      </c>
      <c r="I523">
        <v>515</v>
      </c>
      <c r="J523">
        <v>-716.12830920887745</v>
      </c>
    </row>
    <row r="524" spans="1:10" x14ac:dyDescent="0.35">
      <c r="A524">
        <v>516</v>
      </c>
      <c r="B524">
        <v>888.63332068479031</v>
      </c>
      <c r="C524">
        <v>516</v>
      </c>
      <c r="D524">
        <v>199.52149831765013</v>
      </c>
      <c r="E524">
        <v>516</v>
      </c>
      <c r="F524">
        <v>-123.57329048401709</v>
      </c>
      <c r="G524">
        <v>516</v>
      </c>
      <c r="H524">
        <v>466.30875759028811</v>
      </c>
      <c r="I524">
        <v>516</v>
      </c>
      <c r="J524">
        <v>49.956202857043934</v>
      </c>
    </row>
    <row r="525" spans="1:10" x14ac:dyDescent="0.35">
      <c r="A525">
        <v>517</v>
      </c>
      <c r="B525">
        <v>628.71033801270016</v>
      </c>
      <c r="C525">
        <v>517</v>
      </c>
      <c r="D525">
        <v>519.81195735347194</v>
      </c>
      <c r="E525">
        <v>517</v>
      </c>
      <c r="F525">
        <v>-73.219500518323514</v>
      </c>
      <c r="G525">
        <v>517</v>
      </c>
      <c r="H525">
        <v>629.51174553638157</v>
      </c>
      <c r="I525">
        <v>517</v>
      </c>
      <c r="J525">
        <v>145.26028821477144</v>
      </c>
    </row>
    <row r="526" spans="1:10" x14ac:dyDescent="0.35">
      <c r="A526">
        <v>518</v>
      </c>
      <c r="B526">
        <v>714.00856818729494</v>
      </c>
      <c r="C526">
        <v>518</v>
      </c>
      <c r="D526">
        <v>530.35670429461982</v>
      </c>
      <c r="E526">
        <v>518</v>
      </c>
      <c r="F526">
        <v>144.91134549112704</v>
      </c>
      <c r="G526">
        <v>518</v>
      </c>
      <c r="H526">
        <v>569.70081585105947</v>
      </c>
      <c r="I526">
        <v>518</v>
      </c>
      <c r="J526">
        <v>343.4833948534208</v>
      </c>
    </row>
    <row r="527" spans="1:10" x14ac:dyDescent="0.35">
      <c r="A527">
        <v>519</v>
      </c>
      <c r="B527">
        <v>787.57529935606249</v>
      </c>
      <c r="C527">
        <v>519</v>
      </c>
      <c r="D527">
        <v>738.30435237641439</v>
      </c>
      <c r="E527">
        <v>519</v>
      </c>
      <c r="F527">
        <v>379.29797033260587</v>
      </c>
      <c r="G527">
        <v>519</v>
      </c>
      <c r="H527">
        <v>603.03075616681065</v>
      </c>
      <c r="I527">
        <v>519</v>
      </c>
      <c r="J527">
        <v>165.55453861844495</v>
      </c>
    </row>
    <row r="528" spans="1:10" x14ac:dyDescent="0.35">
      <c r="A528">
        <v>520</v>
      </c>
      <c r="B528">
        <v>566.53098113734552</v>
      </c>
      <c r="C528">
        <v>520</v>
      </c>
      <c r="D528">
        <v>685.26352295907793</v>
      </c>
      <c r="E528">
        <v>520</v>
      </c>
      <c r="F528">
        <v>-358.15424458019407</v>
      </c>
      <c r="G528">
        <v>520</v>
      </c>
      <c r="H528">
        <v>324.40161733871861</v>
      </c>
      <c r="I528">
        <v>520</v>
      </c>
      <c r="J528">
        <v>49.752930586580874</v>
      </c>
    </row>
    <row r="529" spans="1:10" x14ac:dyDescent="0.35">
      <c r="A529">
        <v>521</v>
      </c>
      <c r="B529">
        <v>226.10911462078752</v>
      </c>
      <c r="C529">
        <v>521</v>
      </c>
      <c r="D529">
        <v>524.58411211611576</v>
      </c>
      <c r="E529">
        <v>521</v>
      </c>
      <c r="F529">
        <v>-168.80447770607338</v>
      </c>
      <c r="G529">
        <v>521</v>
      </c>
      <c r="H529">
        <v>413.60095181165138</v>
      </c>
      <c r="I529">
        <v>521</v>
      </c>
      <c r="J529">
        <v>-844.26588393041834</v>
      </c>
    </row>
    <row r="530" spans="1:10" x14ac:dyDescent="0.35">
      <c r="A530">
        <v>522</v>
      </c>
      <c r="B530">
        <v>681.75774102804621</v>
      </c>
      <c r="C530">
        <v>522</v>
      </c>
      <c r="D530">
        <v>719.43281279445694</v>
      </c>
      <c r="E530">
        <v>522</v>
      </c>
      <c r="F530">
        <v>35.864294568271283</v>
      </c>
      <c r="G530">
        <v>522</v>
      </c>
      <c r="H530">
        <v>813.39673426883132</v>
      </c>
      <c r="I530">
        <v>522</v>
      </c>
      <c r="J530">
        <v>147.10154794847233</v>
      </c>
    </row>
    <row r="531" spans="1:10" x14ac:dyDescent="0.35">
      <c r="A531">
        <v>523</v>
      </c>
      <c r="B531">
        <v>1051.4721656242432</v>
      </c>
      <c r="C531">
        <v>523</v>
      </c>
      <c r="D531">
        <v>452.15824627513291</v>
      </c>
      <c r="E531">
        <v>523</v>
      </c>
      <c r="F531">
        <v>240.59105624574852</v>
      </c>
      <c r="G531">
        <v>523</v>
      </c>
      <c r="H531">
        <v>724.17714096207249</v>
      </c>
      <c r="I531">
        <v>523</v>
      </c>
      <c r="J531">
        <v>-319.03688990288623</v>
      </c>
    </row>
    <row r="532" spans="1:10" x14ac:dyDescent="0.35">
      <c r="A532">
        <v>524</v>
      </c>
      <c r="B532">
        <v>710.51023433776174</v>
      </c>
      <c r="C532">
        <v>524</v>
      </c>
      <c r="D532">
        <v>567.8311160544273</v>
      </c>
      <c r="E532">
        <v>524</v>
      </c>
      <c r="F532">
        <v>326.65445849782452</v>
      </c>
      <c r="G532">
        <v>524</v>
      </c>
      <c r="H532">
        <v>399.75276412659582</v>
      </c>
      <c r="I532">
        <v>524</v>
      </c>
      <c r="J532">
        <v>-1106.9235932728459</v>
      </c>
    </row>
    <row r="533" spans="1:10" x14ac:dyDescent="0.35">
      <c r="A533">
        <v>525</v>
      </c>
      <c r="B533">
        <v>710.00589527769876</v>
      </c>
      <c r="C533">
        <v>525</v>
      </c>
      <c r="D533">
        <v>630.32176451466205</v>
      </c>
      <c r="E533">
        <v>525</v>
      </c>
      <c r="F533">
        <v>-37.54616952006576</v>
      </c>
      <c r="G533">
        <v>525</v>
      </c>
      <c r="H533">
        <v>1270.5608140848333</v>
      </c>
      <c r="I533">
        <v>525</v>
      </c>
      <c r="J533">
        <v>-221.33110635813583</v>
      </c>
    </row>
    <row r="534" spans="1:10" x14ac:dyDescent="0.35">
      <c r="A534">
        <v>526</v>
      </c>
      <c r="B534">
        <v>682.13978004951264</v>
      </c>
      <c r="C534">
        <v>526</v>
      </c>
      <c r="D534">
        <v>564.80509955081754</v>
      </c>
      <c r="E534">
        <v>526</v>
      </c>
      <c r="F534">
        <v>131.77591920433838</v>
      </c>
      <c r="G534">
        <v>526</v>
      </c>
      <c r="H534">
        <v>364.36148772907461</v>
      </c>
      <c r="I534">
        <v>526</v>
      </c>
      <c r="J534">
        <v>-303.37767655721342</v>
      </c>
    </row>
    <row r="535" spans="1:10" x14ac:dyDescent="0.35">
      <c r="A535">
        <v>527</v>
      </c>
      <c r="B535">
        <v>447.09197741856809</v>
      </c>
      <c r="C535">
        <v>527</v>
      </c>
      <c r="D535">
        <v>795.62646389071278</v>
      </c>
      <c r="E535">
        <v>527</v>
      </c>
      <c r="F535">
        <v>-154.37870683604021</v>
      </c>
      <c r="G535">
        <v>527</v>
      </c>
      <c r="H535">
        <v>1014.5516357398462</v>
      </c>
      <c r="I535">
        <v>527</v>
      </c>
      <c r="J535">
        <v>130.52921951488258</v>
      </c>
    </row>
    <row r="536" spans="1:10" x14ac:dyDescent="0.35">
      <c r="A536">
        <v>528</v>
      </c>
      <c r="B536">
        <v>702.9567489852268</v>
      </c>
      <c r="C536">
        <v>528</v>
      </c>
      <c r="D536">
        <v>325.95929879292942</v>
      </c>
      <c r="E536">
        <v>528</v>
      </c>
      <c r="F536">
        <v>-340.91320769075401</v>
      </c>
      <c r="G536">
        <v>528</v>
      </c>
      <c r="H536">
        <v>695.81395877023783</v>
      </c>
      <c r="I536">
        <v>528</v>
      </c>
      <c r="J536">
        <v>-317.63873769633807</v>
      </c>
    </row>
    <row r="537" spans="1:10" x14ac:dyDescent="0.35">
      <c r="A537">
        <v>529</v>
      </c>
      <c r="B537">
        <v>381.50759331001916</v>
      </c>
      <c r="C537">
        <v>529</v>
      </c>
      <c r="D537">
        <v>613.99316739776236</v>
      </c>
      <c r="E537">
        <v>529</v>
      </c>
      <c r="F537">
        <v>-150.76761218415342</v>
      </c>
      <c r="G537">
        <v>529</v>
      </c>
      <c r="H537">
        <v>284.99898099423643</v>
      </c>
      <c r="I537">
        <v>529</v>
      </c>
      <c r="J537">
        <v>-52.723317396040784</v>
      </c>
    </row>
    <row r="538" spans="1:10" x14ac:dyDescent="0.35">
      <c r="A538">
        <v>530</v>
      </c>
      <c r="B538">
        <v>323.47438071526494</v>
      </c>
      <c r="C538">
        <v>530</v>
      </c>
      <c r="D538">
        <v>262.96088425665994</v>
      </c>
      <c r="E538">
        <v>530</v>
      </c>
      <c r="F538">
        <v>-140.89436579539236</v>
      </c>
      <c r="G538">
        <v>530</v>
      </c>
      <c r="H538">
        <v>616.32236080630514</v>
      </c>
      <c r="I538">
        <v>530</v>
      </c>
      <c r="J538">
        <v>-83.108745225285901</v>
      </c>
    </row>
    <row r="539" spans="1:10" x14ac:dyDescent="0.35">
      <c r="A539">
        <v>531</v>
      </c>
      <c r="B539">
        <v>264.62716064981191</v>
      </c>
      <c r="C539">
        <v>531</v>
      </c>
      <c r="D539">
        <v>775.81279135650948</v>
      </c>
      <c r="E539">
        <v>531</v>
      </c>
      <c r="F539">
        <v>-124.7751031089424</v>
      </c>
      <c r="G539">
        <v>531</v>
      </c>
      <c r="H539">
        <v>-271.93120213645551</v>
      </c>
      <c r="I539">
        <v>531</v>
      </c>
      <c r="J539">
        <v>-476.73644721124271</v>
      </c>
    </row>
    <row r="540" spans="1:10" x14ac:dyDescent="0.35">
      <c r="A540">
        <v>532</v>
      </c>
      <c r="B540">
        <v>594.82343495596501</v>
      </c>
      <c r="C540">
        <v>532</v>
      </c>
      <c r="D540">
        <v>656.55055063182238</v>
      </c>
      <c r="E540">
        <v>532</v>
      </c>
      <c r="F540">
        <v>249.5147293452201</v>
      </c>
      <c r="G540">
        <v>532</v>
      </c>
      <c r="H540">
        <v>307.87888431225997</v>
      </c>
      <c r="I540">
        <v>532</v>
      </c>
      <c r="J540">
        <v>-563.02504350108097</v>
      </c>
    </row>
    <row r="541" spans="1:10" x14ac:dyDescent="0.35">
      <c r="A541">
        <v>533</v>
      </c>
      <c r="B541">
        <v>608.56180666069633</v>
      </c>
      <c r="C541">
        <v>533</v>
      </c>
      <c r="D541">
        <v>585.7773681299069</v>
      </c>
      <c r="E541">
        <v>533</v>
      </c>
      <c r="F541">
        <v>-32.830174923586128</v>
      </c>
      <c r="G541">
        <v>533</v>
      </c>
      <c r="H541">
        <v>314.21446555203363</v>
      </c>
      <c r="I541">
        <v>533</v>
      </c>
      <c r="J541">
        <v>-280.72904512281286</v>
      </c>
    </row>
    <row r="542" spans="1:10" x14ac:dyDescent="0.35">
      <c r="A542">
        <v>534</v>
      </c>
      <c r="B542">
        <v>874.58957673547025</v>
      </c>
      <c r="C542">
        <v>534</v>
      </c>
      <c r="D542">
        <v>374.60889095931634</v>
      </c>
      <c r="E542">
        <v>534</v>
      </c>
      <c r="F542">
        <v>-101.53943990438069</v>
      </c>
      <c r="G542">
        <v>534</v>
      </c>
      <c r="H542">
        <v>-191.71135999752988</v>
      </c>
      <c r="I542">
        <v>534</v>
      </c>
      <c r="J542">
        <v>-661.37141223512617</v>
      </c>
    </row>
    <row r="543" spans="1:10" x14ac:dyDescent="0.35">
      <c r="A543">
        <v>535</v>
      </c>
      <c r="B543">
        <v>456.33846035366452</v>
      </c>
      <c r="C543">
        <v>535</v>
      </c>
      <c r="D543">
        <v>489.7337897549869</v>
      </c>
      <c r="E543">
        <v>535</v>
      </c>
      <c r="F543">
        <v>465.5624472979552</v>
      </c>
      <c r="G543">
        <v>535</v>
      </c>
      <c r="H543">
        <v>-281.32594135497624</v>
      </c>
      <c r="I543">
        <v>535</v>
      </c>
      <c r="J543">
        <v>-90.953181509216506</v>
      </c>
    </row>
    <row r="544" spans="1:10" x14ac:dyDescent="0.35">
      <c r="A544">
        <v>536</v>
      </c>
      <c r="B544">
        <v>677.48408349080455</v>
      </c>
      <c r="C544">
        <v>536</v>
      </c>
      <c r="D544">
        <v>263.21368341361438</v>
      </c>
      <c r="E544">
        <v>536</v>
      </c>
      <c r="F544">
        <v>-137.09700339650283</v>
      </c>
      <c r="G544">
        <v>536</v>
      </c>
      <c r="H544">
        <v>68.260328334334304</v>
      </c>
      <c r="I544">
        <v>536</v>
      </c>
      <c r="J544">
        <v>159.62754803984939</v>
      </c>
    </row>
    <row r="545" spans="1:10" x14ac:dyDescent="0.35">
      <c r="A545">
        <v>537</v>
      </c>
      <c r="B545">
        <v>566.61157447454161</v>
      </c>
      <c r="C545">
        <v>537</v>
      </c>
      <c r="D545">
        <v>447.77764530076058</v>
      </c>
      <c r="E545">
        <v>537</v>
      </c>
      <c r="F545">
        <v>117.05393744836257</v>
      </c>
      <c r="G545">
        <v>537</v>
      </c>
      <c r="H545">
        <v>671.51403727898526</v>
      </c>
      <c r="I545">
        <v>537</v>
      </c>
      <c r="J545">
        <v>-313.16918182240522</v>
      </c>
    </row>
    <row r="546" spans="1:10" x14ac:dyDescent="0.35">
      <c r="A546">
        <v>538</v>
      </c>
      <c r="B546">
        <v>559.57712541894443</v>
      </c>
      <c r="C546">
        <v>538</v>
      </c>
      <c r="D546">
        <v>551.03435076212816</v>
      </c>
      <c r="E546">
        <v>538</v>
      </c>
      <c r="F546">
        <v>-274.71668399114958</v>
      </c>
      <c r="G546">
        <v>538</v>
      </c>
      <c r="H546">
        <v>645.12122514698103</v>
      </c>
      <c r="I546">
        <v>538</v>
      </c>
      <c r="J546">
        <v>1.5423030777300255</v>
      </c>
    </row>
    <row r="547" spans="1:10" x14ac:dyDescent="0.35">
      <c r="A547">
        <v>539</v>
      </c>
      <c r="B547">
        <v>842.10677716693976</v>
      </c>
      <c r="C547">
        <v>539</v>
      </c>
      <c r="D547">
        <v>823.56749992003222</v>
      </c>
      <c r="E547">
        <v>539</v>
      </c>
      <c r="F547">
        <v>125.81652644205711</v>
      </c>
      <c r="G547">
        <v>539</v>
      </c>
      <c r="H547">
        <v>185.10531848163589</v>
      </c>
      <c r="I547">
        <v>539</v>
      </c>
      <c r="J547">
        <v>437.38739610949153</v>
      </c>
    </row>
    <row r="548" spans="1:10" x14ac:dyDescent="0.35">
      <c r="A548">
        <v>540</v>
      </c>
      <c r="B548">
        <v>899.82118111818545</v>
      </c>
      <c r="C548">
        <v>540</v>
      </c>
      <c r="D548">
        <v>658.35535791105895</v>
      </c>
      <c r="E548">
        <v>540</v>
      </c>
      <c r="F548">
        <v>99.2048295485518</v>
      </c>
      <c r="G548">
        <v>540</v>
      </c>
      <c r="H548">
        <v>717.75559511771576</v>
      </c>
      <c r="I548">
        <v>540</v>
      </c>
      <c r="J548">
        <v>-218.61135140494812</v>
      </c>
    </row>
    <row r="549" spans="1:10" x14ac:dyDescent="0.35">
      <c r="A549">
        <v>541</v>
      </c>
      <c r="B549">
        <v>640.79638903397381</v>
      </c>
      <c r="C549">
        <v>541</v>
      </c>
      <c r="D549">
        <v>452.53573415189874</v>
      </c>
      <c r="E549">
        <v>541</v>
      </c>
      <c r="F549">
        <v>179.41840930354641</v>
      </c>
      <c r="G549">
        <v>541</v>
      </c>
      <c r="H549">
        <v>91.959839524987274</v>
      </c>
      <c r="I549">
        <v>541</v>
      </c>
      <c r="J549">
        <v>-197.82585814216498</v>
      </c>
    </row>
    <row r="550" spans="1:10" x14ac:dyDescent="0.35">
      <c r="A550">
        <v>542</v>
      </c>
      <c r="B550">
        <v>354.17421511623638</v>
      </c>
      <c r="C550">
        <v>542</v>
      </c>
      <c r="D550">
        <v>807.33313746922033</v>
      </c>
      <c r="E550">
        <v>542</v>
      </c>
      <c r="F550">
        <v>117.13909166478179</v>
      </c>
      <c r="G550">
        <v>542</v>
      </c>
      <c r="H550">
        <v>348.84339672655597</v>
      </c>
      <c r="I550">
        <v>542</v>
      </c>
      <c r="J550">
        <v>139.50732970749812</v>
      </c>
    </row>
    <row r="551" spans="1:10" x14ac:dyDescent="0.35">
      <c r="A551">
        <v>543</v>
      </c>
      <c r="B551">
        <v>1098.1247467293701</v>
      </c>
      <c r="C551">
        <v>543</v>
      </c>
      <c r="D551">
        <v>597.61709397019342</v>
      </c>
      <c r="E551">
        <v>543</v>
      </c>
      <c r="F551">
        <v>-136.49055015326348</v>
      </c>
      <c r="G551">
        <v>543</v>
      </c>
      <c r="H551">
        <v>269.82946853329389</v>
      </c>
      <c r="I551">
        <v>543</v>
      </c>
      <c r="J551">
        <v>-777.48662653661449</v>
      </c>
    </row>
    <row r="552" spans="1:10" x14ac:dyDescent="0.35">
      <c r="A552">
        <v>544</v>
      </c>
      <c r="B552">
        <v>740.36212505040442</v>
      </c>
      <c r="C552">
        <v>544</v>
      </c>
      <c r="D552">
        <v>513.71089198383595</v>
      </c>
      <c r="E552">
        <v>544</v>
      </c>
      <c r="F552">
        <v>-264.00501453803042</v>
      </c>
      <c r="G552">
        <v>544</v>
      </c>
      <c r="H552">
        <v>40.636338643496856</v>
      </c>
      <c r="I552">
        <v>544</v>
      </c>
      <c r="J552">
        <v>-266.47583213345035</v>
      </c>
    </row>
    <row r="553" spans="1:10" x14ac:dyDescent="0.35">
      <c r="A553">
        <v>545</v>
      </c>
      <c r="B553">
        <v>795.75915615429426</v>
      </c>
      <c r="C553">
        <v>545</v>
      </c>
      <c r="D553">
        <v>687.10082090237017</v>
      </c>
      <c r="E553">
        <v>545</v>
      </c>
      <c r="F553">
        <v>212.32714692094751</v>
      </c>
      <c r="G553">
        <v>545</v>
      </c>
      <c r="H553">
        <v>38.869650652637858</v>
      </c>
      <c r="I553">
        <v>545</v>
      </c>
      <c r="J553">
        <v>-600.09429423928464</v>
      </c>
    </row>
    <row r="554" spans="1:10" x14ac:dyDescent="0.35">
      <c r="A554">
        <v>546</v>
      </c>
      <c r="B554">
        <v>442.32169167159918</v>
      </c>
      <c r="C554">
        <v>546</v>
      </c>
      <c r="D554">
        <v>725.09951978244226</v>
      </c>
      <c r="E554">
        <v>546</v>
      </c>
      <c r="F554">
        <v>318.39038072441446</v>
      </c>
      <c r="G554">
        <v>546</v>
      </c>
      <c r="H554">
        <v>511.44428496392436</v>
      </c>
      <c r="I554">
        <v>546</v>
      </c>
      <c r="J554">
        <v>371.55283220457477</v>
      </c>
    </row>
    <row r="555" spans="1:10" x14ac:dyDescent="0.35">
      <c r="A555">
        <v>547</v>
      </c>
      <c r="B555">
        <v>847.0311687461508</v>
      </c>
      <c r="C555">
        <v>547</v>
      </c>
      <c r="D555">
        <v>395.13203068176426</v>
      </c>
      <c r="E555">
        <v>547</v>
      </c>
      <c r="F555">
        <v>-18.219765666757937</v>
      </c>
      <c r="G555">
        <v>547</v>
      </c>
      <c r="H555">
        <v>439.63732903163685</v>
      </c>
      <c r="I555">
        <v>547</v>
      </c>
      <c r="J555">
        <v>700.07199465566373</v>
      </c>
    </row>
    <row r="556" spans="1:10" x14ac:dyDescent="0.35">
      <c r="A556">
        <v>548</v>
      </c>
      <c r="B556">
        <v>577.5293784579419</v>
      </c>
      <c r="C556">
        <v>548</v>
      </c>
      <c r="D556">
        <v>37.937862385509106</v>
      </c>
      <c r="E556">
        <v>548</v>
      </c>
      <c r="F556">
        <v>704.35791656028994</v>
      </c>
      <c r="G556">
        <v>548</v>
      </c>
      <c r="H556">
        <v>918.16601343408252</v>
      </c>
      <c r="I556">
        <v>548</v>
      </c>
      <c r="J556">
        <v>145.69648965214765</v>
      </c>
    </row>
    <row r="557" spans="1:10" x14ac:dyDescent="0.35">
      <c r="A557">
        <v>549</v>
      </c>
      <c r="B557">
        <v>692.72086086730883</v>
      </c>
      <c r="C557">
        <v>549</v>
      </c>
      <c r="D557">
        <v>518.92724035968854</v>
      </c>
      <c r="E557">
        <v>549</v>
      </c>
      <c r="F557">
        <v>41.374510925009616</v>
      </c>
      <c r="G557">
        <v>549</v>
      </c>
      <c r="H557">
        <v>-13.595428150122245</v>
      </c>
      <c r="I557">
        <v>549</v>
      </c>
      <c r="J557">
        <v>-587.68473236683758</v>
      </c>
    </row>
    <row r="558" spans="1:10" x14ac:dyDescent="0.35">
      <c r="A558">
        <v>550</v>
      </c>
      <c r="B558">
        <v>645.38017993023391</v>
      </c>
      <c r="C558">
        <v>550</v>
      </c>
      <c r="D558">
        <v>281.95013623844397</v>
      </c>
      <c r="E558">
        <v>550</v>
      </c>
      <c r="F558">
        <v>-396.18518447141588</v>
      </c>
      <c r="G558">
        <v>550</v>
      </c>
      <c r="H558">
        <v>314.8417494437025</v>
      </c>
      <c r="I558">
        <v>550</v>
      </c>
      <c r="J558">
        <v>-118.92614652242585</v>
      </c>
    </row>
    <row r="559" spans="1:10" x14ac:dyDescent="0.35">
      <c r="A559">
        <v>551</v>
      </c>
      <c r="B559">
        <v>503.79149083263178</v>
      </c>
      <c r="C559">
        <v>551</v>
      </c>
      <c r="D559">
        <v>889.58262825783947</v>
      </c>
      <c r="E559">
        <v>551</v>
      </c>
      <c r="F559">
        <v>-494.5412708573383</v>
      </c>
      <c r="G559">
        <v>551</v>
      </c>
      <c r="H559">
        <v>680.29935072592218</v>
      </c>
      <c r="I559">
        <v>551</v>
      </c>
      <c r="J559">
        <v>-414.47512678390581</v>
      </c>
    </row>
    <row r="560" spans="1:10" x14ac:dyDescent="0.35">
      <c r="A560">
        <v>552</v>
      </c>
      <c r="B560">
        <v>737.57738109128638</v>
      </c>
      <c r="C560">
        <v>552</v>
      </c>
      <c r="D560">
        <v>944.52513326115195</v>
      </c>
      <c r="E560">
        <v>552</v>
      </c>
      <c r="F560">
        <v>-161.04005716549082</v>
      </c>
      <c r="G560">
        <v>552</v>
      </c>
      <c r="H560">
        <v>531.92185409743411</v>
      </c>
      <c r="I560">
        <v>552</v>
      </c>
      <c r="J560">
        <v>-124.48230828244368</v>
      </c>
    </row>
    <row r="561" spans="1:10" x14ac:dyDescent="0.35">
      <c r="A561">
        <v>553</v>
      </c>
      <c r="B561">
        <v>600.67187474274579</v>
      </c>
      <c r="C561">
        <v>553</v>
      </c>
      <c r="D561">
        <v>418.14670181404711</v>
      </c>
      <c r="E561">
        <v>553</v>
      </c>
      <c r="F561">
        <v>-102.90524797607077</v>
      </c>
      <c r="G561">
        <v>553</v>
      </c>
      <c r="H561">
        <v>106.55306915969658</v>
      </c>
      <c r="I561">
        <v>553</v>
      </c>
      <c r="J561">
        <v>19.6799280974368</v>
      </c>
    </row>
    <row r="562" spans="1:10" x14ac:dyDescent="0.35">
      <c r="A562">
        <v>554</v>
      </c>
      <c r="B562">
        <v>738.00874075582624</v>
      </c>
      <c r="C562">
        <v>554</v>
      </c>
      <c r="D562">
        <v>564.58600232191679</v>
      </c>
      <c r="E562">
        <v>554</v>
      </c>
      <c r="F562">
        <v>143.00724289850069</v>
      </c>
      <c r="G562">
        <v>554</v>
      </c>
      <c r="H562">
        <v>882.34515795850689</v>
      </c>
      <c r="I562">
        <v>554</v>
      </c>
      <c r="J562">
        <v>-446.1647319998101</v>
      </c>
    </row>
    <row r="563" spans="1:10" x14ac:dyDescent="0.35">
      <c r="A563">
        <v>555</v>
      </c>
      <c r="B563">
        <v>399.24750969851573</v>
      </c>
      <c r="C563">
        <v>555</v>
      </c>
      <c r="D563">
        <v>686.36796898680666</v>
      </c>
      <c r="E563">
        <v>555</v>
      </c>
      <c r="F563">
        <v>-104.15092219210163</v>
      </c>
      <c r="G563">
        <v>555</v>
      </c>
      <c r="H563">
        <v>23.575092572272695</v>
      </c>
      <c r="I563">
        <v>555</v>
      </c>
      <c r="J563">
        <v>537.333610584246</v>
      </c>
    </row>
    <row r="564" spans="1:10" x14ac:dyDescent="0.35">
      <c r="A564">
        <v>556</v>
      </c>
      <c r="B564">
        <v>580.79378575034798</v>
      </c>
      <c r="C564">
        <v>556</v>
      </c>
      <c r="D564">
        <v>613.23039616332028</v>
      </c>
      <c r="E564">
        <v>556</v>
      </c>
      <c r="F564">
        <v>-166.11477210567062</v>
      </c>
      <c r="G564">
        <v>556</v>
      </c>
      <c r="H564">
        <v>1057.9893291414442</v>
      </c>
      <c r="I564">
        <v>556</v>
      </c>
      <c r="J564">
        <v>-553.73897464890592</v>
      </c>
    </row>
    <row r="565" spans="1:10" x14ac:dyDescent="0.35">
      <c r="A565">
        <v>557</v>
      </c>
      <c r="B565">
        <v>820.78318761463595</v>
      </c>
      <c r="C565">
        <v>557</v>
      </c>
      <c r="D565">
        <v>909.82715905308828</v>
      </c>
      <c r="E565">
        <v>557</v>
      </c>
      <c r="F565">
        <v>30.154837012880712</v>
      </c>
      <c r="G565">
        <v>557</v>
      </c>
      <c r="H565">
        <v>197.31104207685223</v>
      </c>
      <c r="I565">
        <v>557</v>
      </c>
      <c r="J565">
        <v>-303.38577876195245</v>
      </c>
    </row>
    <row r="566" spans="1:10" x14ac:dyDescent="0.35">
      <c r="A566">
        <v>558</v>
      </c>
      <c r="B566">
        <v>499.80290349442168</v>
      </c>
      <c r="C566">
        <v>558</v>
      </c>
      <c r="D566">
        <v>632.07519372622301</v>
      </c>
      <c r="E566">
        <v>558</v>
      </c>
      <c r="F566">
        <v>-157.9307450104117</v>
      </c>
      <c r="G566">
        <v>558</v>
      </c>
      <c r="H566">
        <v>569.75656727587375</v>
      </c>
      <c r="I566">
        <v>558</v>
      </c>
      <c r="J566">
        <v>-373.13029022430101</v>
      </c>
    </row>
    <row r="567" spans="1:10" x14ac:dyDescent="0.35">
      <c r="A567">
        <v>559</v>
      </c>
      <c r="B567">
        <v>631.08357869845327</v>
      </c>
      <c r="C567">
        <v>559</v>
      </c>
      <c r="D567">
        <v>568.25963116844537</v>
      </c>
      <c r="E567">
        <v>559</v>
      </c>
      <c r="F567">
        <v>148.71567924593134</v>
      </c>
      <c r="G567">
        <v>559</v>
      </c>
      <c r="H567">
        <v>1063.2765220199096</v>
      </c>
      <c r="I567">
        <v>559</v>
      </c>
      <c r="J567">
        <v>-211.04057094696307</v>
      </c>
    </row>
    <row r="568" spans="1:10" x14ac:dyDescent="0.35">
      <c r="A568">
        <v>560</v>
      </c>
      <c r="B568">
        <v>620.53304428718786</v>
      </c>
      <c r="C568">
        <v>560</v>
      </c>
      <c r="D568">
        <v>748.53888228321421</v>
      </c>
      <c r="E568">
        <v>560</v>
      </c>
      <c r="F568">
        <v>-69.899367964074486</v>
      </c>
      <c r="G568">
        <v>560</v>
      </c>
      <c r="H568">
        <v>832.77265140327552</v>
      </c>
      <c r="I568">
        <v>560</v>
      </c>
      <c r="J568">
        <v>-438.83882479069331</v>
      </c>
    </row>
    <row r="569" spans="1:10" x14ac:dyDescent="0.35">
      <c r="A569">
        <v>561</v>
      </c>
      <c r="B569">
        <v>679.60710776408587</v>
      </c>
      <c r="C569">
        <v>561</v>
      </c>
      <c r="D569">
        <v>414.25545212875375</v>
      </c>
      <c r="E569">
        <v>561</v>
      </c>
      <c r="F569">
        <v>-147.64355881965116</v>
      </c>
      <c r="G569">
        <v>561</v>
      </c>
      <c r="H569">
        <v>483.88002957906536</v>
      </c>
      <c r="I569">
        <v>561</v>
      </c>
      <c r="J569">
        <v>-119.23567522020423</v>
      </c>
    </row>
    <row r="570" spans="1:10" x14ac:dyDescent="0.35">
      <c r="A570">
        <v>562</v>
      </c>
      <c r="B570">
        <v>650.89743662979629</v>
      </c>
      <c r="C570">
        <v>562</v>
      </c>
      <c r="D570">
        <v>903.94517612998447</v>
      </c>
      <c r="E570">
        <v>562</v>
      </c>
      <c r="F570">
        <v>13.731846433933057</v>
      </c>
      <c r="G570">
        <v>562</v>
      </c>
      <c r="H570">
        <v>216.50116179719404</v>
      </c>
      <c r="I570">
        <v>562</v>
      </c>
      <c r="J570">
        <v>-6.6224393527619156</v>
      </c>
    </row>
    <row r="571" spans="1:10" x14ac:dyDescent="0.35">
      <c r="A571">
        <v>563</v>
      </c>
      <c r="B571">
        <v>522.0534095221517</v>
      </c>
      <c r="C571">
        <v>563</v>
      </c>
      <c r="D571">
        <v>840.49972681429233</v>
      </c>
      <c r="E571">
        <v>563</v>
      </c>
      <c r="F571">
        <v>138.00690185889431</v>
      </c>
      <c r="G571">
        <v>563</v>
      </c>
      <c r="H571">
        <v>330.08340448492231</v>
      </c>
      <c r="I571">
        <v>563</v>
      </c>
      <c r="J571">
        <v>218.30281258962759</v>
      </c>
    </row>
    <row r="572" spans="1:10" x14ac:dyDescent="0.35">
      <c r="A572">
        <v>564</v>
      </c>
      <c r="B572">
        <v>732.84301165224349</v>
      </c>
      <c r="C572">
        <v>564</v>
      </c>
      <c r="D572">
        <v>718.70766814301453</v>
      </c>
      <c r="E572">
        <v>564</v>
      </c>
      <c r="F572">
        <v>93.658130985479247</v>
      </c>
      <c r="G572">
        <v>564</v>
      </c>
      <c r="H572">
        <v>377.25530423261034</v>
      </c>
      <c r="I572">
        <v>564</v>
      </c>
      <c r="J572">
        <v>-160.64738909608644</v>
      </c>
    </row>
    <row r="573" spans="1:10" x14ac:dyDescent="0.35">
      <c r="A573">
        <v>565</v>
      </c>
      <c r="B573">
        <v>725.1601337000908</v>
      </c>
      <c r="C573">
        <v>565</v>
      </c>
      <c r="D573">
        <v>789.68810087605709</v>
      </c>
      <c r="E573">
        <v>565</v>
      </c>
      <c r="F573">
        <v>83.267802811142346</v>
      </c>
      <c r="G573">
        <v>565</v>
      </c>
      <c r="H573">
        <v>398.34709242482381</v>
      </c>
      <c r="I573">
        <v>565</v>
      </c>
      <c r="J573">
        <v>-162.30846991577613</v>
      </c>
    </row>
    <row r="574" spans="1:10" x14ac:dyDescent="0.35">
      <c r="A574">
        <v>566</v>
      </c>
      <c r="B574">
        <v>734.95058940058971</v>
      </c>
      <c r="C574">
        <v>566</v>
      </c>
      <c r="D574">
        <v>855.77863387702132</v>
      </c>
      <c r="E574">
        <v>566</v>
      </c>
      <c r="F574">
        <v>-540.01552968601231</v>
      </c>
      <c r="G574">
        <v>566</v>
      </c>
      <c r="H574">
        <v>475.81032387750349</v>
      </c>
      <c r="I574">
        <v>566</v>
      </c>
      <c r="J574">
        <v>143.94152049480505</v>
      </c>
    </row>
    <row r="575" spans="1:10" x14ac:dyDescent="0.35">
      <c r="A575">
        <v>567</v>
      </c>
      <c r="B575">
        <v>779.51192241257741</v>
      </c>
      <c r="C575">
        <v>567</v>
      </c>
      <c r="D575">
        <v>374.33556930416796</v>
      </c>
      <c r="E575">
        <v>567</v>
      </c>
      <c r="F575">
        <v>441.88078585579314</v>
      </c>
      <c r="G575">
        <v>567</v>
      </c>
      <c r="H575">
        <v>37.334585787770948</v>
      </c>
      <c r="I575">
        <v>567</v>
      </c>
      <c r="J575">
        <v>-46.93116044455337</v>
      </c>
    </row>
    <row r="576" spans="1:10" x14ac:dyDescent="0.35">
      <c r="A576">
        <v>568</v>
      </c>
      <c r="B576">
        <v>501.20649961067761</v>
      </c>
      <c r="C576">
        <v>568</v>
      </c>
      <c r="D576">
        <v>816.78863022507346</v>
      </c>
      <c r="E576">
        <v>568</v>
      </c>
      <c r="F576">
        <v>-146.19291693665585</v>
      </c>
      <c r="G576">
        <v>568</v>
      </c>
      <c r="H576">
        <v>158.24089891566314</v>
      </c>
      <c r="I576">
        <v>568</v>
      </c>
      <c r="J576">
        <v>-212.26926958321786</v>
      </c>
    </row>
    <row r="577" spans="1:10" x14ac:dyDescent="0.35">
      <c r="A577">
        <v>569</v>
      </c>
      <c r="B577">
        <v>641.64570804365155</v>
      </c>
      <c r="C577">
        <v>569</v>
      </c>
      <c r="D577">
        <v>882.69904847625173</v>
      </c>
      <c r="E577">
        <v>569</v>
      </c>
      <c r="F577">
        <v>-57.827316122611279</v>
      </c>
      <c r="G577">
        <v>569</v>
      </c>
      <c r="H577">
        <v>782.67094711129744</v>
      </c>
      <c r="I577">
        <v>569</v>
      </c>
      <c r="J577">
        <v>330.35155079995798</v>
      </c>
    </row>
    <row r="578" spans="1:10" x14ac:dyDescent="0.35">
      <c r="A578">
        <v>570</v>
      </c>
      <c r="B578">
        <v>548.78039850966877</v>
      </c>
      <c r="C578">
        <v>570</v>
      </c>
      <c r="D578">
        <v>965.45068965141218</v>
      </c>
      <c r="E578">
        <v>570</v>
      </c>
      <c r="F578">
        <v>-107.74268670843853</v>
      </c>
      <c r="G578">
        <v>570</v>
      </c>
      <c r="H578">
        <v>728.62977296642941</v>
      </c>
      <c r="I578">
        <v>570</v>
      </c>
      <c r="J578">
        <v>-213.09553669022006</v>
      </c>
    </row>
    <row r="579" spans="1:10" x14ac:dyDescent="0.35">
      <c r="A579">
        <v>571</v>
      </c>
      <c r="B579">
        <v>717.41648453567802</v>
      </c>
      <c r="C579">
        <v>571</v>
      </c>
      <c r="D579">
        <v>531.83079724767651</v>
      </c>
      <c r="E579">
        <v>571</v>
      </c>
      <c r="F579">
        <v>143.53819340351535</v>
      </c>
      <c r="G579">
        <v>571</v>
      </c>
      <c r="H579">
        <v>466.41711276954834</v>
      </c>
      <c r="I579">
        <v>571</v>
      </c>
      <c r="J579">
        <v>5.5061888097034171</v>
      </c>
    </row>
    <row r="580" spans="1:10" x14ac:dyDescent="0.35">
      <c r="A580">
        <v>572</v>
      </c>
      <c r="B580">
        <v>816.60030280914589</v>
      </c>
      <c r="C580">
        <v>572</v>
      </c>
      <c r="D580">
        <v>538.73545114090962</v>
      </c>
      <c r="E580">
        <v>572</v>
      </c>
      <c r="F580">
        <v>-362.26601294938433</v>
      </c>
      <c r="G580">
        <v>572</v>
      </c>
      <c r="H580">
        <v>60.935562844107722</v>
      </c>
      <c r="I580">
        <v>572</v>
      </c>
      <c r="J580">
        <v>362.08062756606057</v>
      </c>
    </row>
    <row r="581" spans="1:10" x14ac:dyDescent="0.35">
      <c r="A581">
        <v>573</v>
      </c>
      <c r="B581">
        <v>681.74179690621781</v>
      </c>
      <c r="C581">
        <v>573</v>
      </c>
      <c r="D581">
        <v>481.63426552114407</v>
      </c>
      <c r="E581">
        <v>573</v>
      </c>
      <c r="F581">
        <v>313.44980623838097</v>
      </c>
      <c r="G581">
        <v>573</v>
      </c>
      <c r="H581">
        <v>633.80612677818863</v>
      </c>
      <c r="I581">
        <v>573</v>
      </c>
      <c r="J581">
        <v>-195.61736185160737</v>
      </c>
    </row>
    <row r="582" spans="1:10" x14ac:dyDescent="0.35">
      <c r="A582">
        <v>574</v>
      </c>
      <c r="B582">
        <v>607.19330139661986</v>
      </c>
      <c r="C582">
        <v>574</v>
      </c>
      <c r="D582">
        <v>498.9831015057465</v>
      </c>
      <c r="E582">
        <v>574</v>
      </c>
      <c r="F582">
        <v>93.157027199118801</v>
      </c>
      <c r="G582">
        <v>574</v>
      </c>
      <c r="H582">
        <v>80.050294303007433</v>
      </c>
      <c r="I582">
        <v>574</v>
      </c>
      <c r="J582">
        <v>-441.03905422044102</v>
      </c>
    </row>
    <row r="583" spans="1:10" x14ac:dyDescent="0.35">
      <c r="A583">
        <v>575</v>
      </c>
      <c r="B583">
        <v>464.99723526439493</v>
      </c>
      <c r="C583">
        <v>575</v>
      </c>
      <c r="D583">
        <v>271.9963771477199</v>
      </c>
      <c r="E583">
        <v>575</v>
      </c>
      <c r="F583">
        <v>270.74002176837297</v>
      </c>
      <c r="G583">
        <v>575</v>
      </c>
      <c r="H583">
        <v>454.33959733108929</v>
      </c>
      <c r="I583">
        <v>575</v>
      </c>
      <c r="J583">
        <v>354.20968013838922</v>
      </c>
    </row>
    <row r="584" spans="1:10" x14ac:dyDescent="0.35">
      <c r="A584">
        <v>576</v>
      </c>
      <c r="B584">
        <v>496.23449203284497</v>
      </c>
      <c r="C584">
        <v>576</v>
      </c>
      <c r="D584">
        <v>401.37307527597812</v>
      </c>
      <c r="E584">
        <v>576</v>
      </c>
      <c r="F584">
        <v>-28.761306497106872</v>
      </c>
      <c r="G584">
        <v>576</v>
      </c>
      <c r="H584">
        <v>1074.1227143579101</v>
      </c>
      <c r="I584">
        <v>576</v>
      </c>
      <c r="J584">
        <v>-130.53744815549618</v>
      </c>
    </row>
    <row r="585" spans="1:10" x14ac:dyDescent="0.35">
      <c r="A585">
        <v>577</v>
      </c>
      <c r="B585">
        <v>615.78502995186398</v>
      </c>
      <c r="C585">
        <v>577</v>
      </c>
      <c r="D585">
        <v>899.99227595943535</v>
      </c>
      <c r="E585">
        <v>577</v>
      </c>
      <c r="F585">
        <v>177.00591671810122</v>
      </c>
      <c r="G585">
        <v>577</v>
      </c>
      <c r="H585">
        <v>618.52560942677542</v>
      </c>
      <c r="I585">
        <v>577</v>
      </c>
      <c r="J585">
        <v>39.176230385962384</v>
      </c>
    </row>
    <row r="586" spans="1:10" x14ac:dyDescent="0.35">
      <c r="A586">
        <v>578</v>
      </c>
      <c r="B586">
        <v>1048.1577989821794</v>
      </c>
      <c r="C586">
        <v>578</v>
      </c>
      <c r="D586">
        <v>894.60855910619557</v>
      </c>
      <c r="E586">
        <v>578</v>
      </c>
      <c r="F586">
        <v>168.30872506779124</v>
      </c>
      <c r="G586">
        <v>578</v>
      </c>
      <c r="H586">
        <v>289.96115821108515</v>
      </c>
      <c r="I586">
        <v>578</v>
      </c>
      <c r="J586">
        <v>209.61106495236845</v>
      </c>
    </row>
    <row r="587" spans="1:10" x14ac:dyDescent="0.35">
      <c r="A587">
        <v>579</v>
      </c>
      <c r="B587">
        <v>934.68189612543233</v>
      </c>
      <c r="C587">
        <v>579</v>
      </c>
      <c r="D587">
        <v>705.06818266013579</v>
      </c>
      <c r="E587">
        <v>579</v>
      </c>
      <c r="F587">
        <v>-111.25698952366372</v>
      </c>
      <c r="G587">
        <v>579</v>
      </c>
      <c r="H587">
        <v>316.16700216769414</v>
      </c>
      <c r="I587">
        <v>579</v>
      </c>
      <c r="J587">
        <v>-92.079760494627578</v>
      </c>
    </row>
    <row r="588" spans="1:10" x14ac:dyDescent="0.35">
      <c r="A588">
        <v>580</v>
      </c>
      <c r="B588">
        <v>422.06052978846907</v>
      </c>
      <c r="C588">
        <v>580</v>
      </c>
      <c r="D588">
        <v>447.82596678055427</v>
      </c>
      <c r="E588">
        <v>580</v>
      </c>
      <c r="F588">
        <v>105.25310415518955</v>
      </c>
      <c r="G588">
        <v>580</v>
      </c>
      <c r="H588">
        <v>943.20771468364319</v>
      </c>
      <c r="I588">
        <v>580</v>
      </c>
      <c r="J588">
        <v>399.92342679257627</v>
      </c>
    </row>
    <row r="589" spans="1:10" x14ac:dyDescent="0.35">
      <c r="A589">
        <v>581</v>
      </c>
      <c r="B589">
        <v>573.75513291301354</v>
      </c>
      <c r="C589">
        <v>581</v>
      </c>
      <c r="D589">
        <v>720.95553459677319</v>
      </c>
      <c r="E589">
        <v>581</v>
      </c>
      <c r="F589">
        <v>266.86652541971023</v>
      </c>
      <c r="G589">
        <v>581</v>
      </c>
      <c r="H589">
        <v>-188.12801342209838</v>
      </c>
      <c r="I589">
        <v>581</v>
      </c>
      <c r="J589">
        <v>-411.20220761784338</v>
      </c>
    </row>
    <row r="590" spans="1:10" x14ac:dyDescent="0.35">
      <c r="A590">
        <v>582</v>
      </c>
      <c r="B590">
        <v>869.7134758895088</v>
      </c>
      <c r="C590">
        <v>582</v>
      </c>
      <c r="D590">
        <v>863.80691189869162</v>
      </c>
      <c r="E590">
        <v>582</v>
      </c>
      <c r="F590">
        <v>225.56101993150259</v>
      </c>
      <c r="G590">
        <v>582</v>
      </c>
      <c r="H590">
        <v>689.1808305562264</v>
      </c>
      <c r="I590">
        <v>582</v>
      </c>
      <c r="J590">
        <v>405.55874631795302</v>
      </c>
    </row>
    <row r="591" spans="1:10" x14ac:dyDescent="0.35">
      <c r="A591">
        <v>583</v>
      </c>
      <c r="B591">
        <v>321.32081072626283</v>
      </c>
      <c r="C591">
        <v>583</v>
      </c>
      <c r="D591">
        <v>451.19971209932407</v>
      </c>
      <c r="E591">
        <v>583</v>
      </c>
      <c r="F591">
        <v>-53.368457660756263</v>
      </c>
      <c r="G591">
        <v>583</v>
      </c>
      <c r="H591">
        <v>850.18188562170621</v>
      </c>
      <c r="I591">
        <v>583</v>
      </c>
      <c r="J591">
        <v>-472.81206837003009</v>
      </c>
    </row>
    <row r="592" spans="1:10" x14ac:dyDescent="0.35">
      <c r="A592">
        <v>584</v>
      </c>
      <c r="B592">
        <v>800.14496797116192</v>
      </c>
      <c r="C592">
        <v>584</v>
      </c>
      <c r="D592">
        <v>299.85743583392133</v>
      </c>
      <c r="E592">
        <v>584</v>
      </c>
      <c r="F592">
        <v>-259.67250123490783</v>
      </c>
      <c r="G592">
        <v>584</v>
      </c>
      <c r="H592">
        <v>273.13891863206135</v>
      </c>
      <c r="I592">
        <v>584</v>
      </c>
      <c r="J592">
        <v>-182.73340014184234</v>
      </c>
    </row>
    <row r="593" spans="1:10" x14ac:dyDescent="0.35">
      <c r="A593">
        <v>585</v>
      </c>
      <c r="B593">
        <v>823.2011713581677</v>
      </c>
      <c r="C593">
        <v>585</v>
      </c>
      <c r="D593">
        <v>755.13022584579846</v>
      </c>
      <c r="E593">
        <v>585</v>
      </c>
      <c r="F593">
        <v>-224.41634917319902</v>
      </c>
      <c r="G593">
        <v>585</v>
      </c>
      <c r="H593">
        <v>188.11561604804604</v>
      </c>
      <c r="I593">
        <v>585</v>
      </c>
      <c r="J593">
        <v>158.58867883829799</v>
      </c>
    </row>
    <row r="594" spans="1:10" x14ac:dyDescent="0.35">
      <c r="A594">
        <v>586</v>
      </c>
      <c r="B594">
        <v>496.19188421928038</v>
      </c>
      <c r="C594">
        <v>586</v>
      </c>
      <c r="D594">
        <v>495.24161725294755</v>
      </c>
      <c r="E594">
        <v>586</v>
      </c>
      <c r="F594">
        <v>-258.99698627411522</v>
      </c>
      <c r="G594">
        <v>586</v>
      </c>
      <c r="H594">
        <v>469.67602910869965</v>
      </c>
      <c r="I594">
        <v>586</v>
      </c>
      <c r="J594">
        <v>-529.57941422330828</v>
      </c>
    </row>
    <row r="595" spans="1:10" x14ac:dyDescent="0.35">
      <c r="A595">
        <v>587</v>
      </c>
      <c r="B595">
        <v>603.48839615449822</v>
      </c>
      <c r="C595">
        <v>587</v>
      </c>
      <c r="D595">
        <v>524.35776527543692</v>
      </c>
      <c r="E595">
        <v>587</v>
      </c>
      <c r="F595">
        <v>195.55331764262147</v>
      </c>
      <c r="G595">
        <v>587</v>
      </c>
      <c r="H595">
        <v>532.87815125111854</v>
      </c>
      <c r="I595">
        <v>587</v>
      </c>
      <c r="J595">
        <v>-155.61972419841999</v>
      </c>
    </row>
    <row r="596" spans="1:10" x14ac:dyDescent="0.35">
      <c r="A596">
        <v>588</v>
      </c>
      <c r="B596">
        <v>341.64345711658018</v>
      </c>
      <c r="C596">
        <v>588</v>
      </c>
      <c r="D596">
        <v>471.93032151248622</v>
      </c>
      <c r="E596">
        <v>588</v>
      </c>
      <c r="F596">
        <v>75.519379300407167</v>
      </c>
      <c r="G596">
        <v>588</v>
      </c>
      <c r="H596">
        <v>10.340396770633902</v>
      </c>
      <c r="I596">
        <v>588</v>
      </c>
      <c r="J596">
        <v>-489.16226351182337</v>
      </c>
    </row>
    <row r="597" spans="1:10" x14ac:dyDescent="0.35">
      <c r="A597">
        <v>589</v>
      </c>
      <c r="B597">
        <v>805.84812074008914</v>
      </c>
      <c r="C597">
        <v>589</v>
      </c>
      <c r="D597">
        <v>576.44506897433882</v>
      </c>
      <c r="E597">
        <v>589</v>
      </c>
      <c r="F597">
        <v>34.9145003948057</v>
      </c>
      <c r="G597">
        <v>589</v>
      </c>
      <c r="H597">
        <v>299.31573381350864</v>
      </c>
      <c r="I597">
        <v>589</v>
      </c>
      <c r="J597">
        <v>-319.40352291575357</v>
      </c>
    </row>
    <row r="598" spans="1:10" x14ac:dyDescent="0.35">
      <c r="A598">
        <v>590</v>
      </c>
      <c r="B598">
        <v>672.41948719094057</v>
      </c>
      <c r="C598">
        <v>590</v>
      </c>
      <c r="D598">
        <v>595.2573141205803</v>
      </c>
      <c r="E598">
        <v>590</v>
      </c>
      <c r="F598">
        <v>141.18748285918707</v>
      </c>
      <c r="G598">
        <v>590</v>
      </c>
      <c r="H598">
        <v>492.84152873099333</v>
      </c>
      <c r="I598">
        <v>590</v>
      </c>
      <c r="J598">
        <v>-302.83850924127239</v>
      </c>
    </row>
    <row r="599" spans="1:10" x14ac:dyDescent="0.35">
      <c r="A599">
        <v>591</v>
      </c>
      <c r="B599">
        <v>502.43906205837015</v>
      </c>
      <c r="C599">
        <v>591</v>
      </c>
      <c r="D599">
        <v>785.80771719296979</v>
      </c>
      <c r="E599">
        <v>591</v>
      </c>
      <c r="F599">
        <v>169.72934894149898</v>
      </c>
      <c r="G599">
        <v>591</v>
      </c>
      <c r="H599">
        <v>861.19834642564842</v>
      </c>
      <c r="I599">
        <v>591</v>
      </c>
      <c r="J599">
        <v>76.854316914019819</v>
      </c>
    </row>
    <row r="600" spans="1:10" x14ac:dyDescent="0.35">
      <c r="A600">
        <v>592</v>
      </c>
      <c r="B600">
        <v>313.14891922423431</v>
      </c>
      <c r="C600">
        <v>592</v>
      </c>
      <c r="D600">
        <v>928.78180336810692</v>
      </c>
      <c r="E600">
        <v>592</v>
      </c>
      <c r="F600">
        <v>27.510182962518314</v>
      </c>
      <c r="G600">
        <v>592</v>
      </c>
      <c r="H600">
        <v>500.80129870974969</v>
      </c>
      <c r="I600">
        <v>592</v>
      </c>
      <c r="J600">
        <v>-219.47668457720047</v>
      </c>
    </row>
    <row r="601" spans="1:10" x14ac:dyDescent="0.35">
      <c r="A601">
        <v>593</v>
      </c>
      <c r="B601">
        <v>679.10110834874922</v>
      </c>
      <c r="C601">
        <v>593</v>
      </c>
      <c r="D601">
        <v>616.91450060297643</v>
      </c>
      <c r="E601">
        <v>593</v>
      </c>
      <c r="F601">
        <v>37.653744329953298</v>
      </c>
      <c r="G601">
        <v>593</v>
      </c>
      <c r="H601">
        <v>665.32091641944282</v>
      </c>
      <c r="I601">
        <v>593</v>
      </c>
      <c r="J601">
        <v>-1016.3830952093757</v>
      </c>
    </row>
    <row r="602" spans="1:10" x14ac:dyDescent="0.35">
      <c r="A602">
        <v>594</v>
      </c>
      <c r="B602">
        <v>606.45624308199069</v>
      </c>
      <c r="C602">
        <v>594</v>
      </c>
      <c r="D602">
        <v>744.58498216130283</v>
      </c>
      <c r="E602">
        <v>594</v>
      </c>
      <c r="F602">
        <v>353.35111941627326</v>
      </c>
      <c r="G602">
        <v>594</v>
      </c>
      <c r="H602">
        <v>802.11028121556626</v>
      </c>
      <c r="I602">
        <v>594</v>
      </c>
      <c r="J602">
        <v>-315.56112933628197</v>
      </c>
    </row>
    <row r="603" spans="1:10" x14ac:dyDescent="0.35">
      <c r="A603">
        <v>595</v>
      </c>
      <c r="B603">
        <v>649.58982646876916</v>
      </c>
      <c r="C603">
        <v>595</v>
      </c>
      <c r="D603">
        <v>490.68471203042043</v>
      </c>
      <c r="E603">
        <v>595</v>
      </c>
      <c r="F603">
        <v>441.38382250932892</v>
      </c>
      <c r="G603">
        <v>595</v>
      </c>
      <c r="H603">
        <v>516.34116636887995</v>
      </c>
      <c r="I603">
        <v>595</v>
      </c>
      <c r="J603">
        <v>84.073313841447543</v>
      </c>
    </row>
    <row r="604" spans="1:10" x14ac:dyDescent="0.35">
      <c r="A604">
        <v>596</v>
      </c>
      <c r="B604">
        <v>829.30952941114879</v>
      </c>
      <c r="C604">
        <v>596</v>
      </c>
      <c r="D604">
        <v>664.02706556834869</v>
      </c>
      <c r="E604">
        <v>596</v>
      </c>
      <c r="F604">
        <v>350.94091306944756</v>
      </c>
      <c r="G604">
        <v>596</v>
      </c>
      <c r="H604">
        <v>656.58591489278206</v>
      </c>
      <c r="I604">
        <v>596</v>
      </c>
      <c r="J604">
        <v>245.39498656355045</v>
      </c>
    </row>
    <row r="605" spans="1:10" x14ac:dyDescent="0.35">
      <c r="A605">
        <v>597</v>
      </c>
      <c r="B605">
        <v>659.60666483521732</v>
      </c>
      <c r="C605">
        <v>597</v>
      </c>
      <c r="D605">
        <v>378.813009306656</v>
      </c>
      <c r="E605">
        <v>597</v>
      </c>
      <c r="F605">
        <v>-17.319977932581708</v>
      </c>
      <c r="G605">
        <v>597</v>
      </c>
      <c r="H605">
        <v>551.36425578261537</v>
      </c>
      <c r="I605">
        <v>597</v>
      </c>
      <c r="J605">
        <v>273.82605039196949</v>
      </c>
    </row>
    <row r="606" spans="1:10" x14ac:dyDescent="0.35">
      <c r="A606">
        <v>598</v>
      </c>
      <c r="B606">
        <v>586.64903964478617</v>
      </c>
      <c r="C606">
        <v>598</v>
      </c>
      <c r="D606">
        <v>676.84029221561684</v>
      </c>
      <c r="E606">
        <v>598</v>
      </c>
      <c r="F606">
        <v>406.56628541656812</v>
      </c>
      <c r="G606">
        <v>598</v>
      </c>
      <c r="H606">
        <v>278.38639251993385</v>
      </c>
      <c r="I606">
        <v>598</v>
      </c>
      <c r="J606">
        <v>364.21537846053684</v>
      </c>
    </row>
    <row r="607" spans="1:10" x14ac:dyDescent="0.35">
      <c r="A607">
        <v>599</v>
      </c>
      <c r="B607">
        <v>818.63090976065428</v>
      </c>
      <c r="C607">
        <v>599</v>
      </c>
      <c r="D607">
        <v>246.39056068602787</v>
      </c>
      <c r="E607">
        <v>599</v>
      </c>
      <c r="F607">
        <v>245.25677542378341</v>
      </c>
      <c r="G607">
        <v>599</v>
      </c>
      <c r="H607">
        <v>-189.26921754665892</v>
      </c>
      <c r="I607">
        <v>599</v>
      </c>
      <c r="J607">
        <v>49.11957073448292</v>
      </c>
    </row>
    <row r="608" spans="1:10" x14ac:dyDescent="0.35">
      <c r="A608">
        <v>600</v>
      </c>
      <c r="B608">
        <v>802.10116727977277</v>
      </c>
      <c r="C608">
        <v>600</v>
      </c>
      <c r="D608">
        <v>525.52335872411356</v>
      </c>
      <c r="E608">
        <v>600</v>
      </c>
      <c r="F608">
        <v>-83.616429010965788</v>
      </c>
      <c r="G608">
        <v>600</v>
      </c>
      <c r="H608">
        <v>54.692459718772966</v>
      </c>
      <c r="I608">
        <v>600</v>
      </c>
      <c r="J608">
        <v>-183.73518458875608</v>
      </c>
    </row>
    <row r="609" spans="1:10" x14ac:dyDescent="0.35">
      <c r="A609">
        <v>601</v>
      </c>
      <c r="B609">
        <v>775.5880881857272</v>
      </c>
      <c r="C609">
        <v>601</v>
      </c>
      <c r="D609">
        <v>704.2961075214522</v>
      </c>
      <c r="E609">
        <v>601</v>
      </c>
      <c r="F609">
        <v>-387.5938437629689</v>
      </c>
      <c r="G609">
        <v>601</v>
      </c>
      <c r="H609">
        <v>46.236922114802894</v>
      </c>
      <c r="I609">
        <v>601</v>
      </c>
      <c r="J609">
        <v>-338.67632604325809</v>
      </c>
    </row>
    <row r="610" spans="1:10" x14ac:dyDescent="0.35">
      <c r="A610">
        <v>602</v>
      </c>
      <c r="B610">
        <v>579.38549277941661</v>
      </c>
      <c r="C610">
        <v>602</v>
      </c>
      <c r="D610">
        <v>355.36949907379642</v>
      </c>
      <c r="E610">
        <v>602</v>
      </c>
      <c r="F610">
        <v>-52.230775775770724</v>
      </c>
      <c r="G610">
        <v>602</v>
      </c>
      <c r="H610">
        <v>1092.0620344641793</v>
      </c>
      <c r="I610">
        <v>602</v>
      </c>
      <c r="J610">
        <v>-651.20407350879975</v>
      </c>
    </row>
    <row r="611" spans="1:10" x14ac:dyDescent="0.35">
      <c r="A611">
        <v>603</v>
      </c>
      <c r="B611">
        <v>585.43858548715798</v>
      </c>
      <c r="C611">
        <v>603</v>
      </c>
      <c r="D611">
        <v>846.17763217484355</v>
      </c>
      <c r="E611">
        <v>603</v>
      </c>
      <c r="F611">
        <v>-116.66095120611479</v>
      </c>
      <c r="G611">
        <v>603</v>
      </c>
      <c r="H611">
        <v>405.58105054759505</v>
      </c>
      <c r="I611">
        <v>603</v>
      </c>
      <c r="J611">
        <v>660.22121010350509</v>
      </c>
    </row>
    <row r="612" spans="1:10" x14ac:dyDescent="0.35">
      <c r="A612">
        <v>604</v>
      </c>
      <c r="B612">
        <v>632.24655417320071</v>
      </c>
      <c r="C612">
        <v>604</v>
      </c>
      <c r="D612">
        <v>853.05046473299126</v>
      </c>
      <c r="E612">
        <v>604</v>
      </c>
      <c r="F612">
        <v>-3.3849381902235365</v>
      </c>
      <c r="G612">
        <v>604</v>
      </c>
      <c r="H612">
        <v>725.66472925149947</v>
      </c>
      <c r="I612">
        <v>604</v>
      </c>
      <c r="J612">
        <v>-451.85105738316122</v>
      </c>
    </row>
    <row r="613" spans="1:10" x14ac:dyDescent="0.35">
      <c r="A613">
        <v>605</v>
      </c>
      <c r="B613">
        <v>695.94012123435891</v>
      </c>
      <c r="C613">
        <v>605</v>
      </c>
      <c r="D613">
        <v>542.86434605178204</v>
      </c>
      <c r="E613">
        <v>605</v>
      </c>
      <c r="F613">
        <v>-115.52860200106076</v>
      </c>
      <c r="G613">
        <v>605</v>
      </c>
      <c r="H613">
        <v>690.96761367588556</v>
      </c>
      <c r="I613">
        <v>605</v>
      </c>
      <c r="J613">
        <v>90.600169854989019</v>
      </c>
    </row>
    <row r="614" spans="1:10" x14ac:dyDescent="0.35">
      <c r="A614">
        <v>606</v>
      </c>
      <c r="B614">
        <v>856.22125521284534</v>
      </c>
      <c r="C614">
        <v>606</v>
      </c>
      <c r="D614">
        <v>306.6535738515517</v>
      </c>
      <c r="E614">
        <v>606</v>
      </c>
      <c r="F614">
        <v>-167.8345356214202</v>
      </c>
      <c r="G614">
        <v>606</v>
      </c>
      <c r="H614">
        <v>561.57837978273733</v>
      </c>
      <c r="I614">
        <v>606</v>
      </c>
      <c r="J614">
        <v>91.990144251766367</v>
      </c>
    </row>
    <row r="615" spans="1:10" x14ac:dyDescent="0.35">
      <c r="A615">
        <v>607</v>
      </c>
      <c r="B615">
        <v>584.00095265393463</v>
      </c>
      <c r="C615">
        <v>607</v>
      </c>
      <c r="D615">
        <v>670.92810567032825</v>
      </c>
      <c r="E615">
        <v>607</v>
      </c>
      <c r="F615">
        <v>-453.70943437190203</v>
      </c>
      <c r="G615">
        <v>607</v>
      </c>
      <c r="H615">
        <v>277.41283767278452</v>
      </c>
      <c r="I615">
        <v>607</v>
      </c>
      <c r="J615">
        <v>-103.00277351431194</v>
      </c>
    </row>
    <row r="616" spans="1:10" x14ac:dyDescent="0.35">
      <c r="A616">
        <v>608</v>
      </c>
      <c r="B616">
        <v>480.75918940104026</v>
      </c>
      <c r="C616">
        <v>608</v>
      </c>
      <c r="D616">
        <v>739.24634660681818</v>
      </c>
      <c r="E616">
        <v>608</v>
      </c>
      <c r="F616">
        <v>-136.49612284575559</v>
      </c>
      <c r="G616">
        <v>608</v>
      </c>
      <c r="H616">
        <v>215.08269037599808</v>
      </c>
      <c r="I616">
        <v>608</v>
      </c>
      <c r="J616">
        <v>-438.01630526661086</v>
      </c>
    </row>
    <row r="617" spans="1:10" x14ac:dyDescent="0.35">
      <c r="A617">
        <v>609</v>
      </c>
      <c r="B617">
        <v>760.7155654301248</v>
      </c>
      <c r="C617">
        <v>609</v>
      </c>
      <c r="D617">
        <v>473.80674453363349</v>
      </c>
      <c r="E617">
        <v>609</v>
      </c>
      <c r="F617">
        <v>276.57467745804615</v>
      </c>
      <c r="G617">
        <v>609</v>
      </c>
      <c r="H617">
        <v>668.67016441874807</v>
      </c>
      <c r="I617">
        <v>609</v>
      </c>
      <c r="J617">
        <v>-603.43922697881578</v>
      </c>
    </row>
    <row r="618" spans="1:10" x14ac:dyDescent="0.35">
      <c r="A618">
        <v>610</v>
      </c>
      <c r="B618">
        <v>1007.9150637849049</v>
      </c>
      <c r="C618">
        <v>610</v>
      </c>
      <c r="D618">
        <v>839.43755211459563</v>
      </c>
      <c r="E618">
        <v>610</v>
      </c>
      <c r="F618">
        <v>-279.52087574631065</v>
      </c>
      <c r="G618">
        <v>610</v>
      </c>
      <c r="H618">
        <v>1061.1819829977585</v>
      </c>
      <c r="I618">
        <v>610</v>
      </c>
      <c r="J618">
        <v>-107.91238064916546</v>
      </c>
    </row>
    <row r="619" spans="1:10" x14ac:dyDescent="0.35">
      <c r="A619">
        <v>611</v>
      </c>
      <c r="B619">
        <v>89.215707358751274</v>
      </c>
      <c r="C619">
        <v>611</v>
      </c>
      <c r="D619">
        <v>300.97928145019171</v>
      </c>
      <c r="E619">
        <v>611</v>
      </c>
      <c r="F619">
        <v>284.75220836068809</v>
      </c>
      <c r="G619">
        <v>611</v>
      </c>
      <c r="H619">
        <v>433.05635538245463</v>
      </c>
      <c r="I619">
        <v>611</v>
      </c>
      <c r="J619">
        <v>-43.436253711388673</v>
      </c>
    </row>
    <row r="620" spans="1:10" x14ac:dyDescent="0.35">
      <c r="A620">
        <v>612</v>
      </c>
      <c r="B620">
        <v>986.24823156273942</v>
      </c>
      <c r="C620">
        <v>612</v>
      </c>
      <c r="D620">
        <v>401.4166955466855</v>
      </c>
      <c r="E620">
        <v>612</v>
      </c>
      <c r="F620">
        <v>-156.13323747859013</v>
      </c>
      <c r="G620">
        <v>612</v>
      </c>
      <c r="H620">
        <v>887.79218033403163</v>
      </c>
      <c r="I620">
        <v>612</v>
      </c>
      <c r="J620">
        <v>-580.48087370569897</v>
      </c>
    </row>
    <row r="621" spans="1:10" x14ac:dyDescent="0.35">
      <c r="A621">
        <v>613</v>
      </c>
      <c r="B621">
        <v>597.3277183428894</v>
      </c>
      <c r="C621">
        <v>613</v>
      </c>
      <c r="D621">
        <v>863.27931826108511</v>
      </c>
      <c r="E621">
        <v>613</v>
      </c>
      <c r="F621">
        <v>18.609899187767695</v>
      </c>
      <c r="G621">
        <v>613</v>
      </c>
      <c r="H621">
        <v>400.81830162282387</v>
      </c>
      <c r="I621">
        <v>613</v>
      </c>
      <c r="J621">
        <v>-460.63037135742945</v>
      </c>
    </row>
    <row r="622" spans="1:10" x14ac:dyDescent="0.35">
      <c r="A622">
        <v>614</v>
      </c>
      <c r="B622">
        <v>783.69192388045769</v>
      </c>
      <c r="C622">
        <v>614</v>
      </c>
      <c r="D622">
        <v>471.79388012512732</v>
      </c>
      <c r="E622">
        <v>614</v>
      </c>
      <c r="F622">
        <v>-215.11525132614139</v>
      </c>
      <c r="G622">
        <v>614</v>
      </c>
      <c r="H622">
        <v>680.85373404596135</v>
      </c>
      <c r="I622">
        <v>614</v>
      </c>
      <c r="J622">
        <v>-116.36425294426861</v>
      </c>
    </row>
    <row r="623" spans="1:10" x14ac:dyDescent="0.35">
      <c r="A623">
        <v>615</v>
      </c>
      <c r="B623">
        <v>439.52049815326109</v>
      </c>
      <c r="C623">
        <v>615</v>
      </c>
      <c r="D623">
        <v>742.18006420056804</v>
      </c>
      <c r="E623">
        <v>615</v>
      </c>
      <c r="F623">
        <v>270.33876287268799</v>
      </c>
      <c r="G623">
        <v>615</v>
      </c>
      <c r="H623">
        <v>562.21193305332599</v>
      </c>
      <c r="I623">
        <v>615</v>
      </c>
      <c r="J623">
        <v>-308.39009152519282</v>
      </c>
    </row>
    <row r="624" spans="1:10" x14ac:dyDescent="0.35">
      <c r="A624">
        <v>616</v>
      </c>
      <c r="B624">
        <v>1242.9227370349713</v>
      </c>
      <c r="C624">
        <v>616</v>
      </c>
      <c r="D624">
        <v>780.0205685057025</v>
      </c>
      <c r="E624">
        <v>616</v>
      </c>
      <c r="F624">
        <v>235.76468134590451</v>
      </c>
      <c r="G624">
        <v>616</v>
      </c>
      <c r="H624">
        <v>513.02247270216151</v>
      </c>
      <c r="I624">
        <v>616</v>
      </c>
      <c r="J624">
        <v>-614.86442345775117</v>
      </c>
    </row>
    <row r="625" spans="1:10" x14ac:dyDescent="0.35">
      <c r="A625">
        <v>617</v>
      </c>
      <c r="B625">
        <v>787.02501444110612</v>
      </c>
      <c r="C625">
        <v>617</v>
      </c>
      <c r="D625">
        <v>678.31578840743589</v>
      </c>
      <c r="E625">
        <v>617</v>
      </c>
      <c r="F625">
        <v>418.71422138174557</v>
      </c>
      <c r="G625">
        <v>617</v>
      </c>
      <c r="H625">
        <v>229.74749961592411</v>
      </c>
      <c r="I625">
        <v>617</v>
      </c>
      <c r="J625">
        <v>-346.50367582153234</v>
      </c>
    </row>
    <row r="626" spans="1:10" x14ac:dyDescent="0.35">
      <c r="A626">
        <v>618</v>
      </c>
      <c r="B626">
        <v>557.1021199905133</v>
      </c>
      <c r="C626">
        <v>618</v>
      </c>
      <c r="D626">
        <v>273.51780428101461</v>
      </c>
      <c r="E626">
        <v>618</v>
      </c>
      <c r="F626">
        <v>-156.07221546492039</v>
      </c>
      <c r="G626">
        <v>618</v>
      </c>
      <c r="H626">
        <v>769.85078463693571</v>
      </c>
      <c r="I626">
        <v>618</v>
      </c>
      <c r="J626">
        <v>-466.72699008924997</v>
      </c>
    </row>
    <row r="627" spans="1:10" x14ac:dyDescent="0.35">
      <c r="A627">
        <v>619</v>
      </c>
      <c r="B627">
        <v>566.15801595479593</v>
      </c>
      <c r="C627">
        <v>619</v>
      </c>
      <c r="D627">
        <v>276.61004243603088</v>
      </c>
      <c r="E627">
        <v>619</v>
      </c>
      <c r="F627">
        <v>14.865606439912092</v>
      </c>
      <c r="G627">
        <v>619</v>
      </c>
      <c r="H627">
        <v>747.9103435114456</v>
      </c>
      <c r="I627">
        <v>619</v>
      </c>
      <c r="J627">
        <v>0.73666561212817783</v>
      </c>
    </row>
    <row r="628" spans="1:10" x14ac:dyDescent="0.35">
      <c r="A628">
        <v>620</v>
      </c>
      <c r="B628">
        <v>449.28295661577147</v>
      </c>
      <c r="C628">
        <v>620</v>
      </c>
      <c r="D628">
        <v>559.52676796028311</v>
      </c>
      <c r="E628">
        <v>620</v>
      </c>
      <c r="F628">
        <v>-61.13042960553679</v>
      </c>
      <c r="G628">
        <v>620</v>
      </c>
      <c r="H628">
        <v>1166.6823357912995</v>
      </c>
      <c r="I628">
        <v>620</v>
      </c>
      <c r="J628">
        <v>-327.69073549292341</v>
      </c>
    </row>
    <row r="629" spans="1:10" x14ac:dyDescent="0.35">
      <c r="A629">
        <v>621</v>
      </c>
      <c r="B629">
        <v>476.6275872690681</v>
      </c>
      <c r="C629">
        <v>621</v>
      </c>
      <c r="D629">
        <v>958.3961644369142</v>
      </c>
      <c r="E629">
        <v>621</v>
      </c>
      <c r="F629">
        <v>91.719145031155961</v>
      </c>
      <c r="G629">
        <v>621</v>
      </c>
      <c r="H629">
        <v>1073.9403527840939</v>
      </c>
      <c r="I629">
        <v>621</v>
      </c>
      <c r="J629">
        <v>145.66678781858241</v>
      </c>
    </row>
    <row r="630" spans="1:10" x14ac:dyDescent="0.35">
      <c r="A630">
        <v>622</v>
      </c>
      <c r="B630">
        <v>807.24080684037415</v>
      </c>
      <c r="C630">
        <v>622</v>
      </c>
      <c r="D630">
        <v>616.87820248239177</v>
      </c>
      <c r="E630">
        <v>622</v>
      </c>
      <c r="F630">
        <v>372.05033022780748</v>
      </c>
      <c r="G630">
        <v>622</v>
      </c>
      <c r="H630">
        <v>28.986914347373272</v>
      </c>
      <c r="I630">
        <v>622</v>
      </c>
      <c r="J630">
        <v>77.324638151777037</v>
      </c>
    </row>
    <row r="631" spans="1:10" x14ac:dyDescent="0.35">
      <c r="A631">
        <v>623</v>
      </c>
      <c r="B631">
        <v>981.22601398367635</v>
      </c>
      <c r="C631">
        <v>623</v>
      </c>
      <c r="D631">
        <v>721.56863771569476</v>
      </c>
      <c r="E631">
        <v>623</v>
      </c>
      <c r="F631">
        <v>65.503587002276333</v>
      </c>
      <c r="G631">
        <v>623</v>
      </c>
      <c r="H631">
        <v>604.77549674808415</v>
      </c>
      <c r="I631">
        <v>623</v>
      </c>
      <c r="J631">
        <v>-484.66491232020763</v>
      </c>
    </row>
    <row r="632" spans="1:10" x14ac:dyDescent="0.35">
      <c r="A632">
        <v>624</v>
      </c>
      <c r="B632">
        <v>602.79191719710138</v>
      </c>
      <c r="C632">
        <v>624</v>
      </c>
      <c r="D632">
        <v>722.82709592101844</v>
      </c>
      <c r="E632">
        <v>624</v>
      </c>
      <c r="F632">
        <v>55.719881706615965</v>
      </c>
      <c r="G632">
        <v>624</v>
      </c>
      <c r="H632">
        <v>673.64032558223562</v>
      </c>
      <c r="I632">
        <v>624</v>
      </c>
      <c r="J632">
        <v>-267.21981770694686</v>
      </c>
    </row>
    <row r="633" spans="1:10" x14ac:dyDescent="0.35">
      <c r="A633">
        <v>625</v>
      </c>
      <c r="B633">
        <v>846.59072517441689</v>
      </c>
      <c r="C633">
        <v>625</v>
      </c>
      <c r="D633">
        <v>648.94321405799406</v>
      </c>
      <c r="E633">
        <v>625</v>
      </c>
      <c r="F633">
        <v>-185.73476764106991</v>
      </c>
      <c r="G633">
        <v>625</v>
      </c>
      <c r="H633">
        <v>78.389309489254174</v>
      </c>
      <c r="I633">
        <v>625</v>
      </c>
      <c r="J633">
        <v>-720.92674976228295</v>
      </c>
    </row>
    <row r="634" spans="1:10" x14ac:dyDescent="0.35">
      <c r="A634">
        <v>626</v>
      </c>
      <c r="B634">
        <v>557.3577816107213</v>
      </c>
      <c r="C634">
        <v>626</v>
      </c>
      <c r="D634">
        <v>793.92107493690787</v>
      </c>
      <c r="E634">
        <v>626</v>
      </c>
      <c r="F634">
        <v>-314.44672288397379</v>
      </c>
      <c r="G634">
        <v>626</v>
      </c>
      <c r="H634">
        <v>212.41489779598132</v>
      </c>
      <c r="I634">
        <v>626</v>
      </c>
      <c r="J634">
        <v>-168.06967789286148</v>
      </c>
    </row>
    <row r="635" spans="1:10" x14ac:dyDescent="0.35">
      <c r="A635">
        <v>627</v>
      </c>
      <c r="B635">
        <v>473.55224590334331</v>
      </c>
      <c r="C635">
        <v>627</v>
      </c>
      <c r="D635">
        <v>1262.3890258963174</v>
      </c>
      <c r="E635">
        <v>627</v>
      </c>
      <c r="F635">
        <v>-222.5800180796769</v>
      </c>
      <c r="G635">
        <v>627</v>
      </c>
      <c r="H635">
        <v>818.88535714074851</v>
      </c>
      <c r="I635">
        <v>627</v>
      </c>
      <c r="J635">
        <v>-198.52552076600776</v>
      </c>
    </row>
    <row r="636" spans="1:10" x14ac:dyDescent="0.35">
      <c r="A636">
        <v>628</v>
      </c>
      <c r="B636">
        <v>742.72719880647787</v>
      </c>
      <c r="C636">
        <v>628</v>
      </c>
      <c r="D636">
        <v>428.35479206887095</v>
      </c>
      <c r="E636">
        <v>628</v>
      </c>
      <c r="F636">
        <v>175.61203421589931</v>
      </c>
      <c r="G636">
        <v>628</v>
      </c>
      <c r="H636">
        <v>223.01213785317054</v>
      </c>
      <c r="I636">
        <v>628</v>
      </c>
      <c r="J636">
        <v>454.57838552816395</v>
      </c>
    </row>
    <row r="637" spans="1:10" x14ac:dyDescent="0.35">
      <c r="A637">
        <v>629</v>
      </c>
      <c r="B637">
        <v>267.16713801720761</v>
      </c>
      <c r="C637">
        <v>629</v>
      </c>
      <c r="D637">
        <v>257.74680164787554</v>
      </c>
      <c r="E637">
        <v>629</v>
      </c>
      <c r="F637">
        <v>152.74439746392196</v>
      </c>
      <c r="G637">
        <v>629</v>
      </c>
      <c r="H637">
        <v>495.62418591200139</v>
      </c>
      <c r="I637">
        <v>629</v>
      </c>
      <c r="J637">
        <v>-622.44493154723796</v>
      </c>
    </row>
    <row r="638" spans="1:10" x14ac:dyDescent="0.35">
      <c r="A638">
        <v>630</v>
      </c>
      <c r="B638">
        <v>505.58848915984322</v>
      </c>
      <c r="C638">
        <v>630</v>
      </c>
      <c r="D638">
        <v>684.93352673071035</v>
      </c>
      <c r="E638">
        <v>630</v>
      </c>
      <c r="F638">
        <v>-180.22749698657634</v>
      </c>
      <c r="G638">
        <v>630</v>
      </c>
      <c r="H638">
        <v>658.62945316753485</v>
      </c>
      <c r="I638">
        <v>630</v>
      </c>
      <c r="J638">
        <v>-486.6483438460603</v>
      </c>
    </row>
    <row r="639" spans="1:10" x14ac:dyDescent="0.35">
      <c r="A639">
        <v>631</v>
      </c>
      <c r="B639">
        <v>961.72135788404717</v>
      </c>
      <c r="C639">
        <v>631</v>
      </c>
      <c r="D639">
        <v>671.30186268812247</v>
      </c>
      <c r="E639">
        <v>631</v>
      </c>
      <c r="F639">
        <v>250.6283454642674</v>
      </c>
      <c r="G639">
        <v>631</v>
      </c>
      <c r="H639">
        <v>826.8115086291258</v>
      </c>
      <c r="I639">
        <v>631</v>
      </c>
      <c r="J639">
        <v>-226.25121472278957</v>
      </c>
    </row>
    <row r="640" spans="1:10" x14ac:dyDescent="0.35">
      <c r="A640">
        <v>632</v>
      </c>
      <c r="B640">
        <v>478.64989993770496</v>
      </c>
      <c r="C640">
        <v>632</v>
      </c>
      <c r="D640">
        <v>277.43204962884818</v>
      </c>
      <c r="E640">
        <v>632</v>
      </c>
      <c r="F640">
        <v>291.85853291908148</v>
      </c>
      <c r="G640">
        <v>632</v>
      </c>
      <c r="H640">
        <v>711.14327143077298</v>
      </c>
      <c r="I640">
        <v>632</v>
      </c>
      <c r="J640">
        <v>-175.81894882194882</v>
      </c>
    </row>
    <row r="641" spans="1:10" x14ac:dyDescent="0.35">
      <c r="A641">
        <v>633</v>
      </c>
      <c r="B641">
        <v>729.58757210837507</v>
      </c>
      <c r="C641">
        <v>633</v>
      </c>
      <c r="D641">
        <v>790.47507711956541</v>
      </c>
      <c r="E641">
        <v>633</v>
      </c>
      <c r="F641">
        <v>362.39136364236066</v>
      </c>
      <c r="G641">
        <v>633</v>
      </c>
      <c r="H641">
        <v>744.19994908694116</v>
      </c>
      <c r="I641">
        <v>633</v>
      </c>
      <c r="J641">
        <v>-459.5057460890356</v>
      </c>
    </row>
    <row r="642" spans="1:10" x14ac:dyDescent="0.35">
      <c r="A642">
        <v>634</v>
      </c>
      <c r="B642">
        <v>878.53453402495097</v>
      </c>
      <c r="C642">
        <v>634</v>
      </c>
      <c r="D642">
        <v>855.04823675496164</v>
      </c>
      <c r="E642">
        <v>634</v>
      </c>
      <c r="F642">
        <v>-194.80717357820595</v>
      </c>
      <c r="G642">
        <v>634</v>
      </c>
      <c r="H642">
        <v>1008.2396162274124</v>
      </c>
      <c r="I642">
        <v>634</v>
      </c>
      <c r="J642">
        <v>-493.03306328719736</v>
      </c>
    </row>
    <row r="643" spans="1:10" x14ac:dyDescent="0.35">
      <c r="A643">
        <v>635</v>
      </c>
      <c r="B643">
        <v>508.35803539211491</v>
      </c>
      <c r="C643">
        <v>635</v>
      </c>
      <c r="D643">
        <v>468.08890949540864</v>
      </c>
      <c r="E643">
        <v>635</v>
      </c>
      <c r="F643">
        <v>339.35542419678006</v>
      </c>
      <c r="G643">
        <v>635</v>
      </c>
      <c r="H643">
        <v>650.99038178213289</v>
      </c>
      <c r="I643">
        <v>635</v>
      </c>
      <c r="J643">
        <v>-565.13776864184888</v>
      </c>
    </row>
    <row r="644" spans="1:10" x14ac:dyDescent="0.35">
      <c r="A644">
        <v>636</v>
      </c>
      <c r="B644">
        <v>836.23204090306047</v>
      </c>
      <c r="C644">
        <v>636</v>
      </c>
      <c r="D644">
        <v>886.91880569289083</v>
      </c>
      <c r="E644">
        <v>636</v>
      </c>
      <c r="F644">
        <v>13.364297238869568</v>
      </c>
      <c r="G644">
        <v>636</v>
      </c>
      <c r="H644">
        <v>288.89460414034301</v>
      </c>
      <c r="I644">
        <v>636</v>
      </c>
      <c r="J644">
        <v>-563.99829217032323</v>
      </c>
    </row>
    <row r="645" spans="1:10" x14ac:dyDescent="0.35">
      <c r="A645">
        <v>637</v>
      </c>
      <c r="B645">
        <v>585.16164323234523</v>
      </c>
      <c r="C645">
        <v>637</v>
      </c>
      <c r="D645">
        <v>862.60185528658531</v>
      </c>
      <c r="E645">
        <v>637</v>
      </c>
      <c r="F645">
        <v>-107.40798246808606</v>
      </c>
      <c r="G645">
        <v>637</v>
      </c>
      <c r="H645">
        <v>558.29374584192067</v>
      </c>
      <c r="I645">
        <v>637</v>
      </c>
      <c r="J645">
        <v>-267.89450230261656</v>
      </c>
    </row>
    <row r="646" spans="1:10" x14ac:dyDescent="0.35">
      <c r="A646">
        <v>638</v>
      </c>
      <c r="B646">
        <v>810.94193334947659</v>
      </c>
      <c r="C646">
        <v>638</v>
      </c>
      <c r="D646">
        <v>1080.4644641305922</v>
      </c>
      <c r="E646">
        <v>638</v>
      </c>
      <c r="F646">
        <v>517.67069016996095</v>
      </c>
      <c r="G646">
        <v>638</v>
      </c>
      <c r="H646">
        <v>520.99525200130029</v>
      </c>
      <c r="I646">
        <v>638</v>
      </c>
      <c r="J646">
        <v>15.949588795081297</v>
      </c>
    </row>
    <row r="647" spans="1:10" x14ac:dyDescent="0.35">
      <c r="A647">
        <v>639</v>
      </c>
      <c r="B647">
        <v>1128.1178703950216</v>
      </c>
      <c r="C647">
        <v>639</v>
      </c>
      <c r="D647">
        <v>763.56663006216036</v>
      </c>
      <c r="E647">
        <v>639</v>
      </c>
      <c r="F647">
        <v>459.07879713632747</v>
      </c>
      <c r="G647">
        <v>639</v>
      </c>
      <c r="H647">
        <v>644.10237917917925</v>
      </c>
      <c r="I647">
        <v>639</v>
      </c>
      <c r="J647">
        <v>-175.54590485342672</v>
      </c>
    </row>
    <row r="648" spans="1:10" x14ac:dyDescent="0.35">
      <c r="A648">
        <v>640</v>
      </c>
      <c r="B648">
        <v>439.54496292066062</v>
      </c>
      <c r="C648">
        <v>640</v>
      </c>
      <c r="D648">
        <v>851.36708898997517</v>
      </c>
      <c r="E648">
        <v>640</v>
      </c>
      <c r="F648">
        <v>-268.11697653593654</v>
      </c>
      <c r="G648">
        <v>640</v>
      </c>
      <c r="H648">
        <v>655.65060546339384</v>
      </c>
      <c r="I648">
        <v>640</v>
      </c>
      <c r="J648">
        <v>335.87505768999517</v>
      </c>
    </row>
    <row r="649" spans="1:10" x14ac:dyDescent="0.35">
      <c r="A649">
        <v>641</v>
      </c>
      <c r="B649">
        <v>520.65636006813463</v>
      </c>
      <c r="C649">
        <v>641</v>
      </c>
      <c r="D649">
        <v>809.36263650208502</v>
      </c>
      <c r="E649">
        <v>641</v>
      </c>
      <c r="F649">
        <v>731.70247337774867</v>
      </c>
      <c r="G649">
        <v>641</v>
      </c>
      <c r="H649">
        <v>205.42424820249187</v>
      </c>
      <c r="I649">
        <v>641</v>
      </c>
      <c r="J649">
        <v>-20.531341329002771</v>
      </c>
    </row>
    <row r="650" spans="1:10" x14ac:dyDescent="0.35">
      <c r="A650">
        <v>642</v>
      </c>
      <c r="B650">
        <v>434.44370331917099</v>
      </c>
      <c r="C650">
        <v>642</v>
      </c>
      <c r="D650">
        <v>727.49516983411581</v>
      </c>
      <c r="E650">
        <v>642</v>
      </c>
      <c r="F650">
        <v>291.99706906022368</v>
      </c>
      <c r="G650">
        <v>642</v>
      </c>
      <c r="H650">
        <v>-2.6991389569237185</v>
      </c>
      <c r="I650">
        <v>642</v>
      </c>
      <c r="J650">
        <v>-693.74019757118924</v>
      </c>
    </row>
    <row r="651" spans="1:10" x14ac:dyDescent="0.35">
      <c r="A651">
        <v>643</v>
      </c>
      <c r="B651">
        <v>872.75456762803219</v>
      </c>
      <c r="C651">
        <v>643</v>
      </c>
      <c r="D651">
        <v>208.40239889540578</v>
      </c>
      <c r="E651">
        <v>643</v>
      </c>
      <c r="F651">
        <v>-59.16534941327086</v>
      </c>
      <c r="G651">
        <v>643</v>
      </c>
      <c r="H651">
        <v>-145.30819238935334</v>
      </c>
      <c r="I651">
        <v>643</v>
      </c>
      <c r="J651">
        <v>-840.62706620799827</v>
      </c>
    </row>
    <row r="652" spans="1:10" x14ac:dyDescent="0.35">
      <c r="A652">
        <v>644</v>
      </c>
      <c r="B652">
        <v>715.29393032574535</v>
      </c>
      <c r="C652">
        <v>644</v>
      </c>
      <c r="D652">
        <v>699.57696590175135</v>
      </c>
      <c r="E652">
        <v>644</v>
      </c>
      <c r="F652">
        <v>156.95602236071633</v>
      </c>
      <c r="G652">
        <v>644</v>
      </c>
      <c r="H652">
        <v>92.150716781324036</v>
      </c>
      <c r="I652">
        <v>644</v>
      </c>
      <c r="J652">
        <v>65.407987984117653</v>
      </c>
    </row>
    <row r="653" spans="1:10" x14ac:dyDescent="0.35">
      <c r="A653">
        <v>645</v>
      </c>
      <c r="B653">
        <v>777.92683554263056</v>
      </c>
      <c r="C653">
        <v>645</v>
      </c>
      <c r="D653">
        <v>696.83377596750324</v>
      </c>
      <c r="E653">
        <v>645</v>
      </c>
      <c r="F653">
        <v>8.0015010073260555</v>
      </c>
      <c r="G653">
        <v>645</v>
      </c>
      <c r="H653">
        <v>51.131370707481722</v>
      </c>
      <c r="I653">
        <v>645</v>
      </c>
      <c r="J653">
        <v>-589.87558899945282</v>
      </c>
    </row>
    <row r="654" spans="1:10" x14ac:dyDescent="0.35">
      <c r="A654">
        <v>646</v>
      </c>
      <c r="B654">
        <v>996.79231984389162</v>
      </c>
      <c r="C654">
        <v>646</v>
      </c>
      <c r="D654">
        <v>161.25082754402308</v>
      </c>
      <c r="E654">
        <v>646</v>
      </c>
      <c r="F654">
        <v>274.15005008292042</v>
      </c>
      <c r="G654">
        <v>646</v>
      </c>
      <c r="H654">
        <v>956.37300253067917</v>
      </c>
      <c r="I654">
        <v>646</v>
      </c>
      <c r="J654">
        <v>-252.27953205613397</v>
      </c>
    </row>
    <row r="655" spans="1:10" x14ac:dyDescent="0.35">
      <c r="A655">
        <v>647</v>
      </c>
      <c r="B655">
        <v>560.59756022345607</v>
      </c>
      <c r="C655">
        <v>647</v>
      </c>
      <c r="D655">
        <v>414.80410056661685</v>
      </c>
      <c r="E655">
        <v>647</v>
      </c>
      <c r="F655">
        <v>169.07164638629487</v>
      </c>
      <c r="G655">
        <v>647</v>
      </c>
      <c r="H655">
        <v>720.58073949377547</v>
      </c>
      <c r="I655">
        <v>647</v>
      </c>
      <c r="J655">
        <v>-298.05709289020729</v>
      </c>
    </row>
    <row r="656" spans="1:10" x14ac:dyDescent="0.35">
      <c r="A656">
        <v>648</v>
      </c>
      <c r="B656">
        <v>541.95729028930236</v>
      </c>
      <c r="C656">
        <v>648</v>
      </c>
      <c r="D656">
        <v>754.55676421868986</v>
      </c>
      <c r="E656">
        <v>648</v>
      </c>
      <c r="F656">
        <v>151.51691862838123</v>
      </c>
      <c r="G656">
        <v>648</v>
      </c>
      <c r="H656">
        <v>77.38610545067661</v>
      </c>
      <c r="I656">
        <v>648</v>
      </c>
      <c r="J656">
        <v>-154.48788396971244</v>
      </c>
    </row>
    <row r="657" spans="1:10" x14ac:dyDescent="0.35">
      <c r="A657">
        <v>649</v>
      </c>
      <c r="B657">
        <v>651.7354729830123</v>
      </c>
      <c r="C657">
        <v>649</v>
      </c>
      <c r="D657">
        <v>817.20377440210791</v>
      </c>
      <c r="E657">
        <v>649</v>
      </c>
      <c r="F657">
        <v>70.206679621255233</v>
      </c>
      <c r="G657">
        <v>649</v>
      </c>
      <c r="H657">
        <v>-165.42851960539207</v>
      </c>
      <c r="I657">
        <v>649</v>
      </c>
      <c r="J657">
        <v>-793.02942784015897</v>
      </c>
    </row>
    <row r="658" spans="1:10" x14ac:dyDescent="0.35">
      <c r="A658">
        <v>650</v>
      </c>
      <c r="B658">
        <v>403.17903403509058</v>
      </c>
      <c r="C658">
        <v>650</v>
      </c>
      <c r="D658">
        <v>631.24706535703308</v>
      </c>
      <c r="E658">
        <v>650</v>
      </c>
      <c r="F658">
        <v>253.00900197513545</v>
      </c>
      <c r="G658">
        <v>650</v>
      </c>
      <c r="H658">
        <v>519.68324268560139</v>
      </c>
      <c r="I658">
        <v>650</v>
      </c>
      <c r="J658">
        <v>-280.13636270454361</v>
      </c>
    </row>
    <row r="659" spans="1:10" x14ac:dyDescent="0.35">
      <c r="A659">
        <v>651</v>
      </c>
      <c r="B659">
        <v>723.95253424591374</v>
      </c>
      <c r="C659">
        <v>651</v>
      </c>
      <c r="D659">
        <v>562.08070202560384</v>
      </c>
      <c r="E659">
        <v>651</v>
      </c>
      <c r="F659">
        <v>-22.519058453515655</v>
      </c>
      <c r="G659">
        <v>651</v>
      </c>
      <c r="H659">
        <v>275.71310200957021</v>
      </c>
      <c r="I659">
        <v>651</v>
      </c>
      <c r="J659">
        <v>64.019581134634109</v>
      </c>
    </row>
    <row r="660" spans="1:10" x14ac:dyDescent="0.35">
      <c r="A660">
        <v>652</v>
      </c>
      <c r="B660">
        <v>540.01271596297966</v>
      </c>
      <c r="C660">
        <v>652</v>
      </c>
      <c r="D660">
        <v>836.30590414666392</v>
      </c>
      <c r="E660">
        <v>652</v>
      </c>
      <c r="F660">
        <v>258.61531813288707</v>
      </c>
      <c r="G660">
        <v>652</v>
      </c>
      <c r="H660">
        <v>408.79116880433952</v>
      </c>
      <c r="I660">
        <v>652</v>
      </c>
      <c r="J660">
        <v>-327.27091760496796</v>
      </c>
    </row>
    <row r="661" spans="1:10" x14ac:dyDescent="0.35">
      <c r="A661">
        <v>653</v>
      </c>
      <c r="B661">
        <v>790.51809077575228</v>
      </c>
      <c r="C661">
        <v>653</v>
      </c>
      <c r="D661">
        <v>656.0938325824269</v>
      </c>
      <c r="E661">
        <v>653</v>
      </c>
      <c r="F661">
        <v>188.07605209138666</v>
      </c>
      <c r="G661">
        <v>653</v>
      </c>
      <c r="H661">
        <v>591.04368432530214</v>
      </c>
      <c r="I661">
        <v>653</v>
      </c>
      <c r="J661">
        <v>-70.860042688132864</v>
      </c>
    </row>
    <row r="662" spans="1:10" x14ac:dyDescent="0.35">
      <c r="A662">
        <v>654</v>
      </c>
      <c r="B662">
        <v>679.68653217272981</v>
      </c>
      <c r="C662">
        <v>654</v>
      </c>
      <c r="D662">
        <v>768.49132412580764</v>
      </c>
      <c r="E662">
        <v>654</v>
      </c>
      <c r="F662">
        <v>149.45525073183228</v>
      </c>
      <c r="G662">
        <v>654</v>
      </c>
      <c r="H662">
        <v>155.66906608130705</v>
      </c>
      <c r="I662">
        <v>654</v>
      </c>
      <c r="J662">
        <v>-513.65279594496656</v>
      </c>
    </row>
    <row r="663" spans="1:10" x14ac:dyDescent="0.35">
      <c r="A663">
        <v>655</v>
      </c>
      <c r="B663">
        <v>702.56000309859178</v>
      </c>
      <c r="C663">
        <v>655</v>
      </c>
      <c r="D663">
        <v>611.37026600169952</v>
      </c>
      <c r="E663">
        <v>655</v>
      </c>
      <c r="F663">
        <v>96.675313113796079</v>
      </c>
      <c r="G663">
        <v>655</v>
      </c>
      <c r="H663">
        <v>186.13167571904694</v>
      </c>
      <c r="I663">
        <v>655</v>
      </c>
      <c r="J663">
        <v>-238.29079963343855</v>
      </c>
    </row>
    <row r="664" spans="1:10" x14ac:dyDescent="0.35">
      <c r="A664">
        <v>656</v>
      </c>
      <c r="B664">
        <v>426.78990896521896</v>
      </c>
      <c r="C664">
        <v>656</v>
      </c>
      <c r="D664">
        <v>825.18217208059264</v>
      </c>
      <c r="E664">
        <v>656</v>
      </c>
      <c r="F664">
        <v>-166.36829212817858</v>
      </c>
      <c r="G664">
        <v>656</v>
      </c>
      <c r="H664">
        <v>429.26880798402533</v>
      </c>
      <c r="I664">
        <v>656</v>
      </c>
      <c r="J664">
        <v>224.93012661241136</v>
      </c>
    </row>
    <row r="665" spans="1:10" x14ac:dyDescent="0.35">
      <c r="A665">
        <v>657</v>
      </c>
      <c r="B665">
        <v>957.95651561262389</v>
      </c>
      <c r="C665">
        <v>657</v>
      </c>
      <c r="D665">
        <v>899.47618093150049</v>
      </c>
      <c r="E665">
        <v>657</v>
      </c>
      <c r="F665">
        <v>0.59493714372358397</v>
      </c>
      <c r="G665">
        <v>657</v>
      </c>
      <c r="H665">
        <v>478.28863593869499</v>
      </c>
      <c r="I665">
        <v>657</v>
      </c>
      <c r="J665">
        <v>-61.65323331206892</v>
      </c>
    </row>
    <row r="666" spans="1:10" x14ac:dyDescent="0.35">
      <c r="A666">
        <v>658</v>
      </c>
      <c r="B666">
        <v>663.20864784146568</v>
      </c>
      <c r="C666">
        <v>658</v>
      </c>
      <c r="D666">
        <v>720.20706764350768</v>
      </c>
      <c r="E666">
        <v>658</v>
      </c>
      <c r="F666">
        <v>-92.172732155747468</v>
      </c>
      <c r="G666">
        <v>658</v>
      </c>
      <c r="H666">
        <v>265.27308969438957</v>
      </c>
      <c r="I666">
        <v>658</v>
      </c>
      <c r="J666">
        <v>-890.23822449882402</v>
      </c>
    </row>
    <row r="667" spans="1:10" x14ac:dyDescent="0.35">
      <c r="A667">
        <v>659</v>
      </c>
      <c r="B667">
        <v>419.0470652254736</v>
      </c>
      <c r="C667">
        <v>659</v>
      </c>
      <c r="D667">
        <v>549.36674500299989</v>
      </c>
      <c r="E667">
        <v>659</v>
      </c>
      <c r="F667">
        <v>254.83933696203724</v>
      </c>
      <c r="G667">
        <v>659</v>
      </c>
      <c r="H667">
        <v>384.02446488383112</v>
      </c>
      <c r="I667">
        <v>659</v>
      </c>
      <c r="J667">
        <v>504.25341683963325</v>
      </c>
    </row>
    <row r="668" spans="1:10" x14ac:dyDescent="0.35">
      <c r="A668">
        <v>660</v>
      </c>
      <c r="B668">
        <v>888.58690028194735</v>
      </c>
      <c r="C668">
        <v>660</v>
      </c>
      <c r="D668">
        <v>885.06660840309962</v>
      </c>
      <c r="E668">
        <v>660</v>
      </c>
      <c r="F668">
        <v>352.67344853540556</v>
      </c>
      <c r="G668">
        <v>660</v>
      </c>
      <c r="H668">
        <v>1673.1855742595853</v>
      </c>
      <c r="I668">
        <v>660</v>
      </c>
      <c r="J668">
        <v>132.9553154621363</v>
      </c>
    </row>
    <row r="669" spans="1:10" x14ac:dyDescent="0.35">
      <c r="A669">
        <v>661</v>
      </c>
      <c r="B669">
        <v>983.80869287753399</v>
      </c>
      <c r="C669">
        <v>661</v>
      </c>
      <c r="D669">
        <v>861.59817232124169</v>
      </c>
      <c r="E669">
        <v>661</v>
      </c>
      <c r="F669">
        <v>109.65074377281532</v>
      </c>
      <c r="G669">
        <v>661</v>
      </c>
      <c r="H669">
        <v>399.23389652517221</v>
      </c>
      <c r="I669">
        <v>661</v>
      </c>
      <c r="J669">
        <v>-787.20807910108113</v>
      </c>
    </row>
    <row r="670" spans="1:10" x14ac:dyDescent="0.35">
      <c r="A670">
        <v>662</v>
      </c>
      <c r="B670">
        <v>363.65343123218406</v>
      </c>
      <c r="C670">
        <v>662</v>
      </c>
      <c r="D670">
        <v>204.90947607647144</v>
      </c>
      <c r="E670">
        <v>662</v>
      </c>
      <c r="F670">
        <v>-14.592129152723473</v>
      </c>
      <c r="G670">
        <v>662</v>
      </c>
      <c r="H670">
        <v>408.80423953482386</v>
      </c>
      <c r="I670">
        <v>662</v>
      </c>
      <c r="J670">
        <v>-292.82331679321919</v>
      </c>
    </row>
    <row r="671" spans="1:10" x14ac:dyDescent="0.35">
      <c r="A671">
        <v>663</v>
      </c>
      <c r="B671">
        <v>830.70157903921995</v>
      </c>
      <c r="C671">
        <v>663</v>
      </c>
      <c r="D671">
        <v>762.29930938224584</v>
      </c>
      <c r="E671">
        <v>663</v>
      </c>
      <c r="F671">
        <v>366.02044638145935</v>
      </c>
      <c r="G671">
        <v>663</v>
      </c>
      <c r="H671">
        <v>43.642254353179396</v>
      </c>
      <c r="I671">
        <v>663</v>
      </c>
      <c r="J671">
        <v>-456.51397888044721</v>
      </c>
    </row>
    <row r="672" spans="1:10" x14ac:dyDescent="0.35">
      <c r="A672">
        <v>664</v>
      </c>
      <c r="B672">
        <v>378.66907258400062</v>
      </c>
      <c r="C672">
        <v>664</v>
      </c>
      <c r="D672">
        <v>912.99380549923171</v>
      </c>
      <c r="E672">
        <v>664</v>
      </c>
      <c r="F672">
        <v>169.95590274854533</v>
      </c>
      <c r="G672">
        <v>664</v>
      </c>
      <c r="H672">
        <v>924.7087213972053</v>
      </c>
      <c r="I672">
        <v>664</v>
      </c>
      <c r="J672">
        <v>168.74939035910739</v>
      </c>
    </row>
    <row r="673" spans="1:10" x14ac:dyDescent="0.35">
      <c r="A673">
        <v>665</v>
      </c>
      <c r="B673">
        <v>465.19907753914015</v>
      </c>
      <c r="C673">
        <v>665</v>
      </c>
      <c r="D673">
        <v>673.78252672808992</v>
      </c>
      <c r="E673">
        <v>665</v>
      </c>
      <c r="F673">
        <v>157.69216370003394</v>
      </c>
      <c r="G673">
        <v>665</v>
      </c>
      <c r="H673">
        <v>512.94550106287511</v>
      </c>
      <c r="I673">
        <v>665</v>
      </c>
      <c r="J673">
        <v>-388.23605644640372</v>
      </c>
    </row>
    <row r="674" spans="1:10" x14ac:dyDescent="0.35">
      <c r="A674">
        <v>666</v>
      </c>
      <c r="B674">
        <v>525.03133738780548</v>
      </c>
      <c r="C674">
        <v>666</v>
      </c>
      <c r="D674">
        <v>733.55340598588691</v>
      </c>
      <c r="E674">
        <v>666</v>
      </c>
      <c r="F674">
        <v>-64.071337501474403</v>
      </c>
      <c r="G674">
        <v>666</v>
      </c>
      <c r="H674">
        <v>42.946694652160829</v>
      </c>
      <c r="I674">
        <v>666</v>
      </c>
      <c r="J674">
        <v>-467.94975789705609</v>
      </c>
    </row>
    <row r="675" spans="1:10" x14ac:dyDescent="0.35">
      <c r="A675">
        <v>667</v>
      </c>
      <c r="B675">
        <v>393.37806185020054</v>
      </c>
      <c r="C675">
        <v>667</v>
      </c>
      <c r="D675">
        <v>419.31272020791607</v>
      </c>
      <c r="E675">
        <v>667</v>
      </c>
      <c r="F675">
        <v>170.3685108387358</v>
      </c>
      <c r="G675">
        <v>667</v>
      </c>
      <c r="H675">
        <v>561.20721399150648</v>
      </c>
      <c r="I675">
        <v>667</v>
      </c>
      <c r="J675">
        <v>229.062271408264</v>
      </c>
    </row>
    <row r="676" spans="1:10" x14ac:dyDescent="0.35">
      <c r="A676">
        <v>668</v>
      </c>
      <c r="B676">
        <v>776.49562451540965</v>
      </c>
      <c r="C676">
        <v>668</v>
      </c>
      <c r="D676">
        <v>566.59000043930155</v>
      </c>
      <c r="E676">
        <v>668</v>
      </c>
      <c r="F676">
        <v>104.40179179593451</v>
      </c>
      <c r="G676">
        <v>668</v>
      </c>
      <c r="H676">
        <v>352.93373790290724</v>
      </c>
      <c r="I676">
        <v>668</v>
      </c>
      <c r="J676">
        <v>330.68481421632725</v>
      </c>
    </row>
    <row r="677" spans="1:10" x14ac:dyDescent="0.35">
      <c r="A677">
        <v>669</v>
      </c>
      <c r="B677">
        <v>916.9233364208792</v>
      </c>
      <c r="C677">
        <v>669</v>
      </c>
      <c r="D677">
        <v>660.7801870386354</v>
      </c>
      <c r="E677">
        <v>669</v>
      </c>
      <c r="F677">
        <v>-368.76112986280043</v>
      </c>
      <c r="G677">
        <v>669</v>
      </c>
      <c r="H677">
        <v>-39.871024495037261</v>
      </c>
      <c r="I677">
        <v>669</v>
      </c>
      <c r="J677">
        <v>-319.2385944431478</v>
      </c>
    </row>
    <row r="678" spans="1:10" x14ac:dyDescent="0.35">
      <c r="A678">
        <v>670</v>
      </c>
      <c r="B678">
        <v>774.64629680677103</v>
      </c>
      <c r="C678">
        <v>670</v>
      </c>
      <c r="D678">
        <v>685.56755582436517</v>
      </c>
      <c r="E678">
        <v>670</v>
      </c>
      <c r="F678">
        <v>177.72143857228923</v>
      </c>
      <c r="G678">
        <v>670</v>
      </c>
      <c r="H678">
        <v>673.55298565568137</v>
      </c>
      <c r="I678">
        <v>670</v>
      </c>
      <c r="J678">
        <v>-595.30076414663063</v>
      </c>
    </row>
    <row r="679" spans="1:10" x14ac:dyDescent="0.35">
      <c r="A679">
        <v>671</v>
      </c>
      <c r="B679">
        <v>488.2661680691931</v>
      </c>
      <c r="C679">
        <v>671</v>
      </c>
      <c r="D679">
        <v>683.69127588022877</v>
      </c>
      <c r="E679">
        <v>671</v>
      </c>
      <c r="F679">
        <v>131.13136635720875</v>
      </c>
      <c r="G679">
        <v>671</v>
      </c>
      <c r="H679">
        <v>195.29803570804643</v>
      </c>
      <c r="I679">
        <v>671</v>
      </c>
      <c r="J679">
        <v>241.02191279504154</v>
      </c>
    </row>
    <row r="680" spans="1:10" x14ac:dyDescent="0.35">
      <c r="A680">
        <v>672</v>
      </c>
      <c r="B680">
        <v>630.40926295620545</v>
      </c>
      <c r="C680">
        <v>672</v>
      </c>
      <c r="D680">
        <v>533.14868672498687</v>
      </c>
      <c r="E680">
        <v>672</v>
      </c>
      <c r="F680">
        <v>289.83037416125001</v>
      </c>
      <c r="G680">
        <v>672</v>
      </c>
      <c r="H680">
        <v>945.68448917735361</v>
      </c>
      <c r="I680">
        <v>672</v>
      </c>
      <c r="J680">
        <v>-225.65819249386121</v>
      </c>
    </row>
    <row r="681" spans="1:10" x14ac:dyDescent="0.35">
      <c r="A681">
        <v>673</v>
      </c>
      <c r="B681">
        <v>198.02158363880886</v>
      </c>
      <c r="C681">
        <v>673</v>
      </c>
      <c r="D681">
        <v>767.49234030710011</v>
      </c>
      <c r="E681">
        <v>673</v>
      </c>
      <c r="F681">
        <v>312.1608313232648</v>
      </c>
      <c r="G681">
        <v>673</v>
      </c>
      <c r="H681">
        <v>729.65131463919784</v>
      </c>
      <c r="I681">
        <v>673</v>
      </c>
      <c r="J681">
        <v>-798.82050201723371</v>
      </c>
    </row>
    <row r="682" spans="1:10" x14ac:dyDescent="0.35">
      <c r="A682">
        <v>674</v>
      </c>
      <c r="B682">
        <v>829.05658205598786</v>
      </c>
      <c r="C682">
        <v>674</v>
      </c>
      <c r="D682">
        <v>303.87612067620483</v>
      </c>
      <c r="E682">
        <v>674</v>
      </c>
      <c r="F682">
        <v>512.74187605926375</v>
      </c>
      <c r="G682">
        <v>674</v>
      </c>
      <c r="H682">
        <v>385.88554213467501</v>
      </c>
      <c r="I682">
        <v>674</v>
      </c>
      <c r="J682">
        <v>-47.716645625767313</v>
      </c>
    </row>
    <row r="683" spans="1:10" x14ac:dyDescent="0.35">
      <c r="A683">
        <v>675</v>
      </c>
      <c r="B683">
        <v>605.70745702046554</v>
      </c>
      <c r="C683">
        <v>675</v>
      </c>
      <c r="D683">
        <v>661.28655115748722</v>
      </c>
      <c r="E683">
        <v>675</v>
      </c>
      <c r="F683">
        <v>-1.1271754003573733</v>
      </c>
      <c r="G683">
        <v>675</v>
      </c>
      <c r="H683">
        <v>258.50836382577234</v>
      </c>
      <c r="I683">
        <v>675</v>
      </c>
      <c r="J683">
        <v>500.81714167947098</v>
      </c>
    </row>
    <row r="684" spans="1:10" x14ac:dyDescent="0.35">
      <c r="A684">
        <v>676</v>
      </c>
      <c r="B684">
        <v>683.43577098526384</v>
      </c>
      <c r="C684">
        <v>676</v>
      </c>
      <c r="D684">
        <v>577.15403021053248</v>
      </c>
      <c r="E684">
        <v>676</v>
      </c>
      <c r="F684">
        <v>178.82084091841358</v>
      </c>
      <c r="G684">
        <v>676</v>
      </c>
      <c r="H684">
        <v>506.77883577200691</v>
      </c>
      <c r="I684">
        <v>676</v>
      </c>
      <c r="J684">
        <v>103.86494498595795</v>
      </c>
    </row>
    <row r="685" spans="1:10" x14ac:dyDescent="0.35">
      <c r="A685">
        <v>677</v>
      </c>
      <c r="B685">
        <v>704.82020935240132</v>
      </c>
      <c r="C685">
        <v>677</v>
      </c>
      <c r="D685">
        <v>795.75821230013253</v>
      </c>
      <c r="E685">
        <v>677</v>
      </c>
      <c r="F685">
        <v>374.07439529008917</v>
      </c>
      <c r="G685">
        <v>677</v>
      </c>
      <c r="H685">
        <v>194.45678862572822</v>
      </c>
      <c r="I685">
        <v>677</v>
      </c>
      <c r="J685">
        <v>-293.86886277568647</v>
      </c>
    </row>
    <row r="686" spans="1:10" x14ac:dyDescent="0.35">
      <c r="A686">
        <v>678</v>
      </c>
      <c r="B686">
        <v>661.71814728208631</v>
      </c>
      <c r="C686">
        <v>678</v>
      </c>
      <c r="D686">
        <v>582.26522959095041</v>
      </c>
      <c r="E686">
        <v>678</v>
      </c>
      <c r="F686">
        <v>-215.4385041833122</v>
      </c>
      <c r="G686">
        <v>678</v>
      </c>
      <c r="H686">
        <v>1076.8399941122159</v>
      </c>
      <c r="I686">
        <v>678</v>
      </c>
      <c r="J686">
        <v>222.46909479419696</v>
      </c>
    </row>
    <row r="687" spans="1:10" x14ac:dyDescent="0.35">
      <c r="A687">
        <v>679</v>
      </c>
      <c r="B687">
        <v>507.19889584376779</v>
      </c>
      <c r="C687">
        <v>679</v>
      </c>
      <c r="D687">
        <v>672.5000847129005</v>
      </c>
      <c r="E687">
        <v>679</v>
      </c>
      <c r="F687">
        <v>-81.89047702442474</v>
      </c>
      <c r="G687">
        <v>679</v>
      </c>
      <c r="H687">
        <v>624.61458210208002</v>
      </c>
      <c r="I687">
        <v>679</v>
      </c>
      <c r="J687">
        <v>-353.93825853959652</v>
      </c>
    </row>
    <row r="688" spans="1:10" x14ac:dyDescent="0.35">
      <c r="A688">
        <v>680</v>
      </c>
      <c r="B688">
        <v>792.9108410319061</v>
      </c>
      <c r="C688">
        <v>680</v>
      </c>
      <c r="D688">
        <v>905.66562205099831</v>
      </c>
      <c r="E688">
        <v>680</v>
      </c>
      <c r="F688">
        <v>269.12318355161244</v>
      </c>
      <c r="G688">
        <v>680</v>
      </c>
      <c r="H688">
        <v>158.12461032276542</v>
      </c>
      <c r="I688">
        <v>680</v>
      </c>
      <c r="J688">
        <v>144.01043368357881</v>
      </c>
    </row>
    <row r="689" spans="1:10" x14ac:dyDescent="0.35">
      <c r="A689">
        <v>681</v>
      </c>
      <c r="B689">
        <v>391.74756238921395</v>
      </c>
      <c r="C689">
        <v>681</v>
      </c>
      <c r="D689">
        <v>861.61030460918721</v>
      </c>
      <c r="E689">
        <v>681</v>
      </c>
      <c r="F689">
        <v>35.700949841099096</v>
      </c>
      <c r="G689">
        <v>681</v>
      </c>
      <c r="H689">
        <v>508.34880603490774</v>
      </c>
      <c r="I689">
        <v>681</v>
      </c>
      <c r="J689">
        <v>111.53975800511819</v>
      </c>
    </row>
    <row r="690" spans="1:10" x14ac:dyDescent="0.35">
      <c r="A690">
        <v>682</v>
      </c>
      <c r="B690">
        <v>891.39583158208598</v>
      </c>
      <c r="C690">
        <v>682</v>
      </c>
      <c r="D690">
        <v>609.90563373008763</v>
      </c>
      <c r="E690">
        <v>682</v>
      </c>
      <c r="F690">
        <v>-497.87453241058518</v>
      </c>
      <c r="G690">
        <v>682</v>
      </c>
      <c r="H690">
        <v>838.35621765965459</v>
      </c>
      <c r="I690">
        <v>682</v>
      </c>
      <c r="J690">
        <v>210.87059281254784</v>
      </c>
    </row>
    <row r="691" spans="1:10" x14ac:dyDescent="0.35">
      <c r="A691">
        <v>683</v>
      </c>
      <c r="B691">
        <v>342.2793847642929</v>
      </c>
      <c r="C691">
        <v>683</v>
      </c>
      <c r="D691">
        <v>722.6667152094202</v>
      </c>
      <c r="E691">
        <v>683</v>
      </c>
      <c r="F691">
        <v>-189.53168088648647</v>
      </c>
      <c r="G691">
        <v>683</v>
      </c>
      <c r="H691">
        <v>853.38451122952597</v>
      </c>
      <c r="I691">
        <v>683</v>
      </c>
      <c r="J691">
        <v>-832.11910550826622</v>
      </c>
    </row>
    <row r="692" spans="1:10" x14ac:dyDescent="0.35">
      <c r="A692">
        <v>684</v>
      </c>
      <c r="B692">
        <v>702.59894724306957</v>
      </c>
      <c r="C692">
        <v>684</v>
      </c>
      <c r="D692">
        <v>640.47439131506383</v>
      </c>
      <c r="E692">
        <v>684</v>
      </c>
      <c r="F692">
        <v>272.99552698249056</v>
      </c>
      <c r="G692">
        <v>684</v>
      </c>
      <c r="H692">
        <v>953.77717850242811</v>
      </c>
      <c r="I692">
        <v>684</v>
      </c>
      <c r="J692">
        <v>-101.92787006667955</v>
      </c>
    </row>
    <row r="693" spans="1:10" x14ac:dyDescent="0.35">
      <c r="A693">
        <v>685</v>
      </c>
      <c r="B693">
        <v>465.97631485434829</v>
      </c>
      <c r="C693">
        <v>685</v>
      </c>
      <c r="D693">
        <v>540.42065502537946</v>
      </c>
      <c r="E693">
        <v>685</v>
      </c>
      <c r="F693">
        <v>-23.326959710263509</v>
      </c>
      <c r="G693">
        <v>685</v>
      </c>
      <c r="H693">
        <v>218.8390552783035</v>
      </c>
      <c r="I693">
        <v>685</v>
      </c>
      <c r="J693">
        <v>-10.400641409149728</v>
      </c>
    </row>
    <row r="694" spans="1:10" x14ac:dyDescent="0.35">
      <c r="A694">
        <v>686</v>
      </c>
      <c r="B694">
        <v>870.97721146715469</v>
      </c>
      <c r="C694">
        <v>686</v>
      </c>
      <c r="D694">
        <v>442.42991517048631</v>
      </c>
      <c r="E694">
        <v>686</v>
      </c>
      <c r="F694">
        <v>-43.24246794928105</v>
      </c>
      <c r="G694">
        <v>686</v>
      </c>
      <c r="H694">
        <v>368.75884133751924</v>
      </c>
      <c r="I694">
        <v>686</v>
      </c>
      <c r="J694">
        <v>-184.58492643529289</v>
      </c>
    </row>
    <row r="695" spans="1:10" x14ac:dyDescent="0.35">
      <c r="A695">
        <v>687</v>
      </c>
      <c r="B695">
        <v>675.68174751268418</v>
      </c>
      <c r="C695">
        <v>687</v>
      </c>
      <c r="D695">
        <v>230.27021441982845</v>
      </c>
      <c r="E695">
        <v>687</v>
      </c>
      <c r="F695">
        <v>195.33366699917042</v>
      </c>
      <c r="G695">
        <v>687</v>
      </c>
      <c r="H695">
        <v>929.26270710105814</v>
      </c>
      <c r="I695">
        <v>687</v>
      </c>
      <c r="J695">
        <v>-329.717056645502</v>
      </c>
    </row>
    <row r="696" spans="1:10" x14ac:dyDescent="0.35">
      <c r="A696">
        <v>688</v>
      </c>
      <c r="B696">
        <v>723.00495440479233</v>
      </c>
      <c r="C696">
        <v>688</v>
      </c>
      <c r="D696">
        <v>786.7008523756092</v>
      </c>
      <c r="E696">
        <v>688</v>
      </c>
      <c r="F696">
        <v>47.637429980706372</v>
      </c>
      <c r="G696">
        <v>688</v>
      </c>
      <c r="H696">
        <v>213.90613116332042</v>
      </c>
      <c r="I696">
        <v>688</v>
      </c>
      <c r="J696">
        <v>247.8843049049616</v>
      </c>
    </row>
    <row r="697" spans="1:10" x14ac:dyDescent="0.35">
      <c r="A697">
        <v>689</v>
      </c>
      <c r="B697">
        <v>554.19042764632331</v>
      </c>
      <c r="C697">
        <v>689</v>
      </c>
      <c r="D697">
        <v>748.60185113127955</v>
      </c>
      <c r="E697">
        <v>689</v>
      </c>
      <c r="F697">
        <v>110.60176736060994</v>
      </c>
      <c r="G697">
        <v>689</v>
      </c>
      <c r="H697">
        <v>310.65357566912337</v>
      </c>
      <c r="I697">
        <v>689</v>
      </c>
      <c r="J697">
        <v>-273.68662976256365</v>
      </c>
    </row>
    <row r="698" spans="1:10" x14ac:dyDescent="0.35">
      <c r="A698">
        <v>690</v>
      </c>
      <c r="B698">
        <v>675.85133217850193</v>
      </c>
      <c r="C698">
        <v>690</v>
      </c>
      <c r="D698">
        <v>590.03181479477234</v>
      </c>
      <c r="E698">
        <v>690</v>
      </c>
      <c r="F698">
        <v>233.37123459292741</v>
      </c>
      <c r="G698">
        <v>690</v>
      </c>
      <c r="H698">
        <v>598.12262418030036</v>
      </c>
      <c r="I698">
        <v>690</v>
      </c>
      <c r="J698">
        <v>280.45581643206805</v>
      </c>
    </row>
    <row r="699" spans="1:10" x14ac:dyDescent="0.35">
      <c r="A699">
        <v>691</v>
      </c>
      <c r="B699">
        <v>214.95371124632373</v>
      </c>
      <c r="C699">
        <v>691</v>
      </c>
      <c r="D699">
        <v>844.17496229659423</v>
      </c>
      <c r="E699">
        <v>691</v>
      </c>
      <c r="F699">
        <v>-136.96778757718667</v>
      </c>
      <c r="G699">
        <v>691</v>
      </c>
      <c r="H699">
        <v>562.66523880751322</v>
      </c>
      <c r="I699">
        <v>691</v>
      </c>
      <c r="J699">
        <v>-415.63485734455617</v>
      </c>
    </row>
    <row r="700" spans="1:10" x14ac:dyDescent="0.35">
      <c r="A700">
        <v>692</v>
      </c>
      <c r="B700">
        <v>564.86578222194225</v>
      </c>
      <c r="C700">
        <v>692</v>
      </c>
      <c r="D700">
        <v>1003.9395425571022</v>
      </c>
      <c r="E700">
        <v>692</v>
      </c>
      <c r="F700">
        <v>-125.43430379417842</v>
      </c>
      <c r="G700">
        <v>692</v>
      </c>
      <c r="H700">
        <v>486.8535220898242</v>
      </c>
      <c r="I700">
        <v>692</v>
      </c>
      <c r="J700">
        <v>-535.01459611473433</v>
      </c>
    </row>
    <row r="701" spans="1:10" x14ac:dyDescent="0.35">
      <c r="A701">
        <v>693</v>
      </c>
      <c r="B701">
        <v>514.49856029651164</v>
      </c>
      <c r="C701">
        <v>693</v>
      </c>
      <c r="D701">
        <v>679.38764444017067</v>
      </c>
      <c r="E701">
        <v>693</v>
      </c>
      <c r="F701">
        <v>137.25066513373702</v>
      </c>
      <c r="G701">
        <v>693</v>
      </c>
      <c r="H701">
        <v>408.04332313041664</v>
      </c>
      <c r="I701">
        <v>693</v>
      </c>
      <c r="J701">
        <v>64.563628906165093</v>
      </c>
    </row>
    <row r="702" spans="1:10" x14ac:dyDescent="0.35">
      <c r="A702">
        <v>694</v>
      </c>
      <c r="B702">
        <v>1000.0928722450751</v>
      </c>
      <c r="C702">
        <v>694</v>
      </c>
      <c r="D702">
        <v>1009.5988751549911</v>
      </c>
      <c r="E702">
        <v>694</v>
      </c>
      <c r="F702">
        <v>244.6553186226289</v>
      </c>
      <c r="G702">
        <v>694</v>
      </c>
      <c r="H702">
        <v>380.74277590137984</v>
      </c>
      <c r="I702">
        <v>694</v>
      </c>
      <c r="J702">
        <v>70.836551484427048</v>
      </c>
    </row>
    <row r="703" spans="1:10" x14ac:dyDescent="0.35">
      <c r="A703">
        <v>695</v>
      </c>
      <c r="B703">
        <v>584.1298953717494</v>
      </c>
      <c r="C703">
        <v>695</v>
      </c>
      <c r="D703">
        <v>594.90185260347346</v>
      </c>
      <c r="E703">
        <v>695</v>
      </c>
      <c r="F703">
        <v>-366.14324428013515</v>
      </c>
      <c r="G703">
        <v>695</v>
      </c>
      <c r="H703">
        <v>326.13156596603915</v>
      </c>
      <c r="I703">
        <v>695</v>
      </c>
      <c r="J703">
        <v>222.32805877259273</v>
      </c>
    </row>
    <row r="704" spans="1:10" x14ac:dyDescent="0.35">
      <c r="A704">
        <v>696</v>
      </c>
      <c r="B704">
        <v>921.4681354018162</v>
      </c>
      <c r="C704">
        <v>696</v>
      </c>
      <c r="D704">
        <v>724.29847480654428</v>
      </c>
      <c r="E704">
        <v>696</v>
      </c>
      <c r="F704">
        <v>-186.13239627277108</v>
      </c>
      <c r="G704">
        <v>696</v>
      </c>
      <c r="H704">
        <v>228.96031885924467</v>
      </c>
      <c r="I704">
        <v>696</v>
      </c>
      <c r="J704">
        <v>-194.19881177517064</v>
      </c>
    </row>
    <row r="705" spans="1:10" x14ac:dyDescent="0.35">
      <c r="A705">
        <v>697</v>
      </c>
      <c r="B705">
        <v>524.24897995445724</v>
      </c>
      <c r="C705">
        <v>697</v>
      </c>
      <c r="D705">
        <v>751.44401068178524</v>
      </c>
      <c r="E705">
        <v>697</v>
      </c>
      <c r="F705">
        <v>823.10328768535931</v>
      </c>
      <c r="G705">
        <v>697</v>
      </c>
      <c r="H705">
        <v>-247.53369625191209</v>
      </c>
      <c r="I705">
        <v>697</v>
      </c>
      <c r="J705">
        <v>-544.3277966199762</v>
      </c>
    </row>
    <row r="706" spans="1:10" x14ac:dyDescent="0.35">
      <c r="A706">
        <v>698</v>
      </c>
      <c r="B706">
        <v>722.927150963386</v>
      </c>
      <c r="C706">
        <v>698</v>
      </c>
      <c r="D706">
        <v>531.1230926068481</v>
      </c>
      <c r="E706">
        <v>698</v>
      </c>
      <c r="F706">
        <v>-60.797969971431371</v>
      </c>
      <c r="G706">
        <v>698</v>
      </c>
      <c r="H706">
        <v>1003.1866085697791</v>
      </c>
      <c r="I706">
        <v>698</v>
      </c>
      <c r="J706">
        <v>-382.94964229333914</v>
      </c>
    </row>
    <row r="707" spans="1:10" x14ac:dyDescent="0.35">
      <c r="A707">
        <v>699</v>
      </c>
      <c r="B707">
        <v>637.85874562475476</v>
      </c>
      <c r="C707">
        <v>699</v>
      </c>
      <c r="D707">
        <v>615.32056321094626</v>
      </c>
      <c r="E707">
        <v>699</v>
      </c>
      <c r="F707">
        <v>179.5446315142417</v>
      </c>
      <c r="G707">
        <v>699</v>
      </c>
      <c r="H707">
        <v>963.95915767015458</v>
      </c>
      <c r="I707">
        <v>699</v>
      </c>
      <c r="J707">
        <v>-985.450190402771</v>
      </c>
    </row>
    <row r="708" spans="1:10" x14ac:dyDescent="0.35">
      <c r="A708">
        <v>700</v>
      </c>
      <c r="B708">
        <v>612.45600252679208</v>
      </c>
      <c r="C708">
        <v>700</v>
      </c>
      <c r="D708">
        <v>574.27714490493486</v>
      </c>
      <c r="E708">
        <v>700</v>
      </c>
      <c r="F708">
        <v>-104.00239035221543</v>
      </c>
      <c r="G708">
        <v>700</v>
      </c>
      <c r="H708">
        <v>745.90868308665267</v>
      </c>
      <c r="I708">
        <v>700</v>
      </c>
      <c r="J708">
        <v>155.73780399291877</v>
      </c>
    </row>
    <row r="709" spans="1:10" x14ac:dyDescent="0.35">
      <c r="A709">
        <v>701</v>
      </c>
      <c r="B709">
        <v>679.26387084971054</v>
      </c>
      <c r="C709">
        <v>701</v>
      </c>
      <c r="D709">
        <v>461.99707756869361</v>
      </c>
      <c r="E709">
        <v>701</v>
      </c>
      <c r="F709">
        <v>135.07260120740767</v>
      </c>
      <c r="G709">
        <v>701</v>
      </c>
      <c r="H709">
        <v>656.0762765099704</v>
      </c>
      <c r="I709">
        <v>701</v>
      </c>
      <c r="J709">
        <v>31.087081036753773</v>
      </c>
    </row>
    <row r="710" spans="1:10" x14ac:dyDescent="0.35">
      <c r="A710">
        <v>702</v>
      </c>
      <c r="B710">
        <v>359.32952478946788</v>
      </c>
      <c r="C710">
        <v>702</v>
      </c>
      <c r="D710">
        <v>645.33363271249584</v>
      </c>
      <c r="E710">
        <v>702</v>
      </c>
      <c r="F710">
        <v>-212.46114089852119</v>
      </c>
      <c r="G710">
        <v>702</v>
      </c>
      <c r="H710">
        <v>717.84000749821701</v>
      </c>
      <c r="I710">
        <v>702</v>
      </c>
      <c r="J710">
        <v>-7.6931184765136607</v>
      </c>
    </row>
    <row r="711" spans="1:10" x14ac:dyDescent="0.35">
      <c r="A711">
        <v>703</v>
      </c>
      <c r="B711">
        <v>730.96332515515121</v>
      </c>
      <c r="C711">
        <v>703</v>
      </c>
      <c r="D711">
        <v>408.6583923136381</v>
      </c>
      <c r="E711">
        <v>703</v>
      </c>
      <c r="F711">
        <v>-263.45814422447529</v>
      </c>
      <c r="G711">
        <v>703</v>
      </c>
      <c r="H711">
        <v>28.117426316407034</v>
      </c>
      <c r="I711">
        <v>703</v>
      </c>
      <c r="J711">
        <v>-113.80754237907445</v>
      </c>
    </row>
    <row r="712" spans="1:10" x14ac:dyDescent="0.35">
      <c r="A712">
        <v>704</v>
      </c>
      <c r="B712">
        <v>319.47046722685496</v>
      </c>
      <c r="C712">
        <v>704</v>
      </c>
      <c r="D712">
        <v>621.93454595194282</v>
      </c>
      <c r="E712">
        <v>704</v>
      </c>
      <c r="F712">
        <v>364.09952001855197</v>
      </c>
      <c r="G712">
        <v>704</v>
      </c>
      <c r="H712">
        <v>-103.16990965499832</v>
      </c>
      <c r="I712">
        <v>704</v>
      </c>
      <c r="J712">
        <v>244.16503962104679</v>
      </c>
    </row>
    <row r="713" spans="1:10" x14ac:dyDescent="0.35">
      <c r="A713">
        <v>705</v>
      </c>
      <c r="B713">
        <v>678.35836534602936</v>
      </c>
      <c r="C713">
        <v>705</v>
      </c>
      <c r="D713">
        <v>506.783727766276</v>
      </c>
      <c r="E713">
        <v>705</v>
      </c>
      <c r="F713">
        <v>190.36332574268567</v>
      </c>
      <c r="G713">
        <v>705</v>
      </c>
      <c r="H713">
        <v>1228.7409687409963</v>
      </c>
      <c r="I713">
        <v>705</v>
      </c>
      <c r="J713">
        <v>-654.9082031806455</v>
      </c>
    </row>
    <row r="714" spans="1:10" x14ac:dyDescent="0.35">
      <c r="A714">
        <v>706</v>
      </c>
      <c r="B714">
        <v>374.7361202174128</v>
      </c>
      <c r="C714">
        <v>706</v>
      </c>
      <c r="D714">
        <v>620.77498249801795</v>
      </c>
      <c r="E714">
        <v>706</v>
      </c>
      <c r="F714">
        <v>196.08456996699181</v>
      </c>
      <c r="G714">
        <v>706</v>
      </c>
      <c r="H714">
        <v>600.72539987636014</v>
      </c>
      <c r="I714">
        <v>706</v>
      </c>
      <c r="J714">
        <v>-78.908967726179498</v>
      </c>
    </row>
    <row r="715" spans="1:10" x14ac:dyDescent="0.35">
      <c r="A715">
        <v>707</v>
      </c>
      <c r="B715">
        <v>519.41417308192842</v>
      </c>
      <c r="C715">
        <v>707</v>
      </c>
      <c r="D715">
        <v>644.25964766435754</v>
      </c>
      <c r="E715">
        <v>707</v>
      </c>
      <c r="F715">
        <v>338.95336366066743</v>
      </c>
      <c r="G715">
        <v>707</v>
      </c>
      <c r="H715">
        <v>1206.9410569851966</v>
      </c>
      <c r="I715">
        <v>707</v>
      </c>
      <c r="J715">
        <v>-244.80709132780507</v>
      </c>
    </row>
    <row r="716" spans="1:10" x14ac:dyDescent="0.35">
      <c r="A716">
        <v>708</v>
      </c>
      <c r="B716">
        <v>700.611441392129</v>
      </c>
      <c r="C716">
        <v>708</v>
      </c>
      <c r="D716">
        <v>518.52535559686487</v>
      </c>
      <c r="E716">
        <v>708</v>
      </c>
      <c r="F716">
        <v>-239.97285951276911</v>
      </c>
      <c r="G716">
        <v>708</v>
      </c>
      <c r="H716">
        <v>841.55279662952876</v>
      </c>
      <c r="I716">
        <v>708</v>
      </c>
      <c r="J716">
        <v>464.5400172664979</v>
      </c>
    </row>
    <row r="717" spans="1:10" x14ac:dyDescent="0.35">
      <c r="A717">
        <v>709</v>
      </c>
      <c r="B717">
        <v>1042.902840103734</v>
      </c>
      <c r="C717">
        <v>709</v>
      </c>
      <c r="D717">
        <v>982.25388522928347</v>
      </c>
      <c r="E717">
        <v>709</v>
      </c>
      <c r="F717">
        <v>-189.67798303199322</v>
      </c>
      <c r="G717">
        <v>709</v>
      </c>
      <c r="H717">
        <v>579.873066486276</v>
      </c>
      <c r="I717">
        <v>709</v>
      </c>
      <c r="J717">
        <v>163.85369397042763</v>
      </c>
    </row>
    <row r="718" spans="1:10" x14ac:dyDescent="0.35">
      <c r="A718">
        <v>710</v>
      </c>
      <c r="B718">
        <v>674.72407001761701</v>
      </c>
      <c r="C718">
        <v>710</v>
      </c>
      <c r="D718">
        <v>602.17772664523432</v>
      </c>
      <c r="E718">
        <v>710</v>
      </c>
      <c r="F718">
        <v>340.9605932820495</v>
      </c>
      <c r="G718">
        <v>710</v>
      </c>
      <c r="H718">
        <v>1125.1731184967</v>
      </c>
      <c r="I718">
        <v>710</v>
      </c>
      <c r="J718">
        <v>-259.12580637019096</v>
      </c>
    </row>
    <row r="719" spans="1:10" x14ac:dyDescent="0.35">
      <c r="A719">
        <v>711</v>
      </c>
      <c r="B719">
        <v>479.63494719073589</v>
      </c>
      <c r="C719">
        <v>711</v>
      </c>
      <c r="D719">
        <v>678.36859327398383</v>
      </c>
      <c r="E719">
        <v>711</v>
      </c>
      <c r="F719">
        <v>-15.333950084351429</v>
      </c>
      <c r="G719">
        <v>711</v>
      </c>
      <c r="H719">
        <v>455.7206718670746</v>
      </c>
      <c r="I719">
        <v>711</v>
      </c>
      <c r="J719">
        <v>-154.48552311722554</v>
      </c>
    </row>
    <row r="720" spans="1:10" x14ac:dyDescent="0.35">
      <c r="A720">
        <v>712</v>
      </c>
      <c r="B720">
        <v>254.1413405265061</v>
      </c>
      <c r="C720">
        <v>712</v>
      </c>
      <c r="D720">
        <v>776.38840500262404</v>
      </c>
      <c r="E720">
        <v>712</v>
      </c>
      <c r="F720">
        <v>100.12864213262527</v>
      </c>
      <c r="G720">
        <v>712</v>
      </c>
      <c r="H720">
        <v>591.26097246888139</v>
      </c>
      <c r="I720">
        <v>712</v>
      </c>
      <c r="J720">
        <v>379.6302921505461</v>
      </c>
    </row>
    <row r="721" spans="1:10" x14ac:dyDescent="0.35">
      <c r="A721">
        <v>713</v>
      </c>
      <c r="B721">
        <v>485.21604668888222</v>
      </c>
      <c r="C721">
        <v>713</v>
      </c>
      <c r="D721">
        <v>677.89506336810882</v>
      </c>
      <c r="E721">
        <v>713</v>
      </c>
      <c r="F721">
        <v>136.5457396492418</v>
      </c>
      <c r="G721">
        <v>713</v>
      </c>
      <c r="H721">
        <v>1090.1529932444234</v>
      </c>
      <c r="I721">
        <v>713</v>
      </c>
      <c r="J721">
        <v>-261.29575525095152</v>
      </c>
    </row>
    <row r="722" spans="1:10" x14ac:dyDescent="0.35">
      <c r="A722">
        <v>714</v>
      </c>
      <c r="B722">
        <v>646.38254018359919</v>
      </c>
      <c r="C722">
        <v>714</v>
      </c>
      <c r="D722">
        <v>490.83479197592578</v>
      </c>
      <c r="E722">
        <v>714</v>
      </c>
      <c r="F722">
        <v>588.63636378308922</v>
      </c>
      <c r="G722">
        <v>714</v>
      </c>
      <c r="H722">
        <v>378.83074833749617</v>
      </c>
      <c r="I722">
        <v>714</v>
      </c>
      <c r="J722">
        <v>-321.17980353110346</v>
      </c>
    </row>
    <row r="723" spans="1:10" x14ac:dyDescent="0.35">
      <c r="A723">
        <v>715</v>
      </c>
      <c r="B723">
        <v>650.81701765912885</v>
      </c>
      <c r="C723">
        <v>715</v>
      </c>
      <c r="D723">
        <v>256.86029582518967</v>
      </c>
      <c r="E723">
        <v>715</v>
      </c>
      <c r="F723">
        <v>271.70357133591733</v>
      </c>
      <c r="G723">
        <v>715</v>
      </c>
      <c r="H723">
        <v>-53.358918568448473</v>
      </c>
      <c r="I723">
        <v>715</v>
      </c>
      <c r="J723">
        <v>-324.15199142665688</v>
      </c>
    </row>
    <row r="724" spans="1:10" x14ac:dyDescent="0.35">
      <c r="A724">
        <v>716</v>
      </c>
      <c r="B724">
        <v>709.16093554627901</v>
      </c>
      <c r="C724">
        <v>716</v>
      </c>
      <c r="D724">
        <v>262.10794821304972</v>
      </c>
      <c r="E724">
        <v>716</v>
      </c>
      <c r="F724">
        <v>27.979228790211799</v>
      </c>
      <c r="G724">
        <v>716</v>
      </c>
      <c r="H724">
        <v>499.66310080709923</v>
      </c>
      <c r="I724">
        <v>716</v>
      </c>
      <c r="J724">
        <v>138.57482425510261</v>
      </c>
    </row>
    <row r="725" spans="1:10" x14ac:dyDescent="0.35">
      <c r="A725">
        <v>717</v>
      </c>
      <c r="B725">
        <v>614.66371600059097</v>
      </c>
      <c r="C725">
        <v>717</v>
      </c>
      <c r="D725">
        <v>582.54793448006706</v>
      </c>
      <c r="E725">
        <v>717</v>
      </c>
      <c r="F725">
        <v>32.700294292983394</v>
      </c>
      <c r="G725">
        <v>717</v>
      </c>
      <c r="H725">
        <v>220.27415490466782</v>
      </c>
      <c r="I725">
        <v>717</v>
      </c>
      <c r="J725">
        <v>174.9677004852756</v>
      </c>
    </row>
    <row r="726" spans="1:10" x14ac:dyDescent="0.35">
      <c r="A726">
        <v>718</v>
      </c>
      <c r="B726">
        <v>812.94641603598473</v>
      </c>
      <c r="C726">
        <v>718</v>
      </c>
      <c r="D726">
        <v>502.44166877515238</v>
      </c>
      <c r="E726">
        <v>718</v>
      </c>
      <c r="F726">
        <v>99.130889374124848</v>
      </c>
      <c r="G726">
        <v>718</v>
      </c>
      <c r="H726">
        <v>362.56807916691145</v>
      </c>
      <c r="I726">
        <v>718</v>
      </c>
      <c r="J726">
        <v>-585.07090602217067</v>
      </c>
    </row>
    <row r="727" spans="1:10" x14ac:dyDescent="0.35">
      <c r="A727">
        <v>719</v>
      </c>
      <c r="B727">
        <v>489.83914647952292</v>
      </c>
      <c r="C727">
        <v>719</v>
      </c>
      <c r="D727">
        <v>563.99861698552002</v>
      </c>
      <c r="E727">
        <v>719</v>
      </c>
      <c r="F727">
        <v>-48.441825968639534</v>
      </c>
      <c r="G727">
        <v>719</v>
      </c>
      <c r="H727">
        <v>714.99097465182854</v>
      </c>
      <c r="I727">
        <v>719</v>
      </c>
      <c r="J727">
        <v>-893.70442824832401</v>
      </c>
    </row>
    <row r="728" spans="1:10" x14ac:dyDescent="0.35">
      <c r="A728">
        <v>720</v>
      </c>
      <c r="B728">
        <v>652.29982872733763</v>
      </c>
      <c r="C728">
        <v>720</v>
      </c>
      <c r="D728">
        <v>829.61842195024121</v>
      </c>
      <c r="E728">
        <v>720</v>
      </c>
      <c r="F728">
        <v>-5.9327617067424683</v>
      </c>
      <c r="G728">
        <v>720</v>
      </c>
      <c r="H728">
        <v>1255.8140227881436</v>
      </c>
      <c r="I728">
        <v>720</v>
      </c>
      <c r="J728">
        <v>-1028.7999835719911</v>
      </c>
    </row>
    <row r="729" spans="1:10" x14ac:dyDescent="0.35">
      <c r="A729">
        <v>721</v>
      </c>
      <c r="B729">
        <v>235.27703013173755</v>
      </c>
      <c r="C729">
        <v>721</v>
      </c>
      <c r="D729">
        <v>817.04060640942043</v>
      </c>
      <c r="E729">
        <v>721</v>
      </c>
      <c r="F729">
        <v>-130.52884968644469</v>
      </c>
      <c r="G729">
        <v>721</v>
      </c>
      <c r="H729">
        <v>224.42409178463708</v>
      </c>
      <c r="I729">
        <v>721</v>
      </c>
      <c r="J729">
        <v>-43.621457148837152</v>
      </c>
    </row>
    <row r="730" spans="1:10" x14ac:dyDescent="0.35">
      <c r="A730">
        <v>722</v>
      </c>
      <c r="B730">
        <v>655.8356248120424</v>
      </c>
      <c r="C730">
        <v>722</v>
      </c>
      <c r="D730">
        <v>400.16164425893874</v>
      </c>
      <c r="E730">
        <v>722</v>
      </c>
      <c r="F730">
        <v>344.09049628330007</v>
      </c>
      <c r="G730">
        <v>722</v>
      </c>
      <c r="H730">
        <v>-188.86996461701682</v>
      </c>
      <c r="I730">
        <v>722</v>
      </c>
      <c r="J730">
        <v>-158.83943226285126</v>
      </c>
    </row>
    <row r="731" spans="1:10" x14ac:dyDescent="0.35">
      <c r="A731">
        <v>723</v>
      </c>
      <c r="B731">
        <v>320.00391818272118</v>
      </c>
      <c r="C731">
        <v>723</v>
      </c>
      <c r="D731">
        <v>635.89975974720335</v>
      </c>
      <c r="E731">
        <v>723</v>
      </c>
      <c r="F731">
        <v>459.07406427635721</v>
      </c>
      <c r="G731">
        <v>723</v>
      </c>
      <c r="H731">
        <v>734.76060944637902</v>
      </c>
      <c r="I731">
        <v>723</v>
      </c>
      <c r="J731">
        <v>-321.56779011159961</v>
      </c>
    </row>
    <row r="732" spans="1:10" x14ac:dyDescent="0.35">
      <c r="A732">
        <v>724</v>
      </c>
      <c r="B732">
        <v>481.77828777515009</v>
      </c>
      <c r="C732">
        <v>724</v>
      </c>
      <c r="D732">
        <v>392.02567764724972</v>
      </c>
      <c r="E732">
        <v>724</v>
      </c>
      <c r="F732">
        <v>464.99926450542773</v>
      </c>
      <c r="G732">
        <v>724</v>
      </c>
      <c r="H732">
        <v>223.38343499930707</v>
      </c>
      <c r="I732">
        <v>724</v>
      </c>
      <c r="J732">
        <v>-680.90396263753132</v>
      </c>
    </row>
    <row r="733" spans="1:10" x14ac:dyDescent="0.35">
      <c r="A733">
        <v>725</v>
      </c>
      <c r="B733">
        <v>603.25264518087954</v>
      </c>
      <c r="C733">
        <v>725</v>
      </c>
      <c r="D733">
        <v>830.37258075869056</v>
      </c>
      <c r="E733">
        <v>725</v>
      </c>
      <c r="F733">
        <v>11.469585199472249</v>
      </c>
      <c r="G733">
        <v>725</v>
      </c>
      <c r="H733">
        <v>371.19893514948757</v>
      </c>
      <c r="I733">
        <v>725</v>
      </c>
      <c r="J733">
        <v>-664.60067503600476</v>
      </c>
    </row>
    <row r="734" spans="1:10" x14ac:dyDescent="0.35">
      <c r="A734">
        <v>726</v>
      </c>
      <c r="B734">
        <v>304.51673099405679</v>
      </c>
      <c r="C734">
        <v>726</v>
      </c>
      <c r="D734">
        <v>672.51966717258097</v>
      </c>
      <c r="E734">
        <v>726</v>
      </c>
      <c r="F734">
        <v>135.87731058790496</v>
      </c>
      <c r="G734">
        <v>726</v>
      </c>
      <c r="H734">
        <v>24.434066446872862</v>
      </c>
      <c r="I734">
        <v>726</v>
      </c>
      <c r="J734">
        <v>122.82109143815046</v>
      </c>
    </row>
    <row r="735" spans="1:10" x14ac:dyDescent="0.35">
      <c r="A735">
        <v>727</v>
      </c>
      <c r="B735">
        <v>636.97532288745936</v>
      </c>
      <c r="C735">
        <v>727</v>
      </c>
      <c r="D735">
        <v>645.17332708578238</v>
      </c>
      <c r="E735">
        <v>727</v>
      </c>
      <c r="F735">
        <v>325.70703758366062</v>
      </c>
      <c r="G735">
        <v>727</v>
      </c>
      <c r="H735">
        <v>178.14334874862897</v>
      </c>
      <c r="I735">
        <v>727</v>
      </c>
      <c r="J735">
        <v>-635.69741612573057</v>
      </c>
    </row>
    <row r="736" spans="1:10" x14ac:dyDescent="0.35">
      <c r="A736">
        <v>728</v>
      </c>
      <c r="B736">
        <v>466.50116016150264</v>
      </c>
      <c r="C736">
        <v>728</v>
      </c>
      <c r="D736">
        <v>437.00585559501724</v>
      </c>
      <c r="E736">
        <v>728</v>
      </c>
      <c r="F736">
        <v>26.421686777394392</v>
      </c>
      <c r="G736">
        <v>728</v>
      </c>
      <c r="H736">
        <v>1058.4546708003584</v>
      </c>
      <c r="I736">
        <v>728</v>
      </c>
      <c r="J736">
        <v>305.24390643593733</v>
      </c>
    </row>
    <row r="737" spans="1:10" x14ac:dyDescent="0.35">
      <c r="A737">
        <v>729</v>
      </c>
      <c r="B737">
        <v>754.07710938530215</v>
      </c>
      <c r="C737">
        <v>729</v>
      </c>
      <c r="D737">
        <v>510.21812954011426</v>
      </c>
      <c r="E737">
        <v>729</v>
      </c>
      <c r="F737">
        <v>-6.3683323834898715</v>
      </c>
      <c r="G737">
        <v>729</v>
      </c>
      <c r="H737">
        <v>1380.4401098644921</v>
      </c>
      <c r="I737">
        <v>729</v>
      </c>
      <c r="J737">
        <v>-190.45150868583963</v>
      </c>
    </row>
    <row r="738" spans="1:10" x14ac:dyDescent="0.35">
      <c r="A738">
        <v>730</v>
      </c>
      <c r="B738">
        <v>624.74536469945394</v>
      </c>
      <c r="C738">
        <v>730</v>
      </c>
      <c r="D738">
        <v>487.6257431786151</v>
      </c>
      <c r="E738">
        <v>730</v>
      </c>
      <c r="F738">
        <v>218.91573077589283</v>
      </c>
      <c r="G738">
        <v>730</v>
      </c>
      <c r="H738">
        <v>558.05288968380296</v>
      </c>
      <c r="I738">
        <v>730</v>
      </c>
      <c r="J738">
        <v>-173.32970675900029</v>
      </c>
    </row>
    <row r="739" spans="1:10" x14ac:dyDescent="0.35">
      <c r="A739">
        <v>731</v>
      </c>
      <c r="B739">
        <v>546.1194639855446</v>
      </c>
      <c r="C739">
        <v>731</v>
      </c>
      <c r="D739">
        <v>340.9734069375898</v>
      </c>
      <c r="E739">
        <v>731</v>
      </c>
      <c r="F739">
        <v>-62.069757291873287</v>
      </c>
      <c r="G739">
        <v>731</v>
      </c>
      <c r="H739">
        <v>274.45937492733395</v>
      </c>
      <c r="I739">
        <v>731</v>
      </c>
      <c r="J739">
        <v>91.679870577529925</v>
      </c>
    </row>
    <row r="740" spans="1:10" x14ac:dyDescent="0.35">
      <c r="A740">
        <v>732</v>
      </c>
      <c r="B740">
        <v>719.63376001207473</v>
      </c>
      <c r="C740">
        <v>732</v>
      </c>
      <c r="D740">
        <v>793.59772807244417</v>
      </c>
      <c r="E740">
        <v>732</v>
      </c>
      <c r="F740">
        <v>-203.21085606007898</v>
      </c>
      <c r="G740">
        <v>732</v>
      </c>
      <c r="H740">
        <v>425.03624727475096</v>
      </c>
      <c r="I740">
        <v>732</v>
      </c>
      <c r="J740">
        <v>-347.4897386238265</v>
      </c>
    </row>
    <row r="741" spans="1:10" x14ac:dyDescent="0.35">
      <c r="A741">
        <v>733</v>
      </c>
      <c r="B741">
        <v>564.08818033140403</v>
      </c>
      <c r="C741">
        <v>733</v>
      </c>
      <c r="D741">
        <v>696.75678124393471</v>
      </c>
      <c r="E741">
        <v>733</v>
      </c>
      <c r="F741">
        <v>100.28057857918648</v>
      </c>
      <c r="G741">
        <v>733</v>
      </c>
      <c r="H741">
        <v>350.49547296898891</v>
      </c>
      <c r="I741">
        <v>733</v>
      </c>
      <c r="J741">
        <v>-503.90007497461062</v>
      </c>
    </row>
    <row r="742" spans="1:10" x14ac:dyDescent="0.35">
      <c r="A742">
        <v>734</v>
      </c>
      <c r="B742">
        <v>385.44494274160508</v>
      </c>
      <c r="C742">
        <v>734</v>
      </c>
      <c r="D742">
        <v>374.84948044417996</v>
      </c>
      <c r="E742">
        <v>734</v>
      </c>
      <c r="F742">
        <v>145.0462249268621</v>
      </c>
      <c r="G742">
        <v>734</v>
      </c>
      <c r="H742">
        <v>634.04566908805145</v>
      </c>
      <c r="I742">
        <v>734</v>
      </c>
      <c r="J742">
        <v>-159.24678007539674</v>
      </c>
    </row>
    <row r="743" spans="1:10" x14ac:dyDescent="0.35">
      <c r="A743">
        <v>735</v>
      </c>
      <c r="B743">
        <v>606.8461644801697</v>
      </c>
      <c r="C743">
        <v>735</v>
      </c>
      <c r="D743">
        <v>568.82777802864064</v>
      </c>
      <c r="E743">
        <v>735</v>
      </c>
      <c r="F743">
        <v>-29.859175060753159</v>
      </c>
      <c r="G743">
        <v>735</v>
      </c>
      <c r="H743">
        <v>483.97823615510379</v>
      </c>
      <c r="I743">
        <v>735</v>
      </c>
      <c r="J743">
        <v>164.83533842609779</v>
      </c>
    </row>
    <row r="744" spans="1:10" x14ac:dyDescent="0.35">
      <c r="A744">
        <v>736</v>
      </c>
      <c r="B744">
        <v>382.78170784457535</v>
      </c>
      <c r="C744">
        <v>736</v>
      </c>
      <c r="D744">
        <v>519.69656117052853</v>
      </c>
      <c r="E744">
        <v>736</v>
      </c>
      <c r="F744">
        <v>393.62978530854485</v>
      </c>
      <c r="G744">
        <v>736</v>
      </c>
      <c r="H744">
        <v>586.22490530976597</v>
      </c>
      <c r="I744">
        <v>736</v>
      </c>
      <c r="J744">
        <v>-161.13406970423608</v>
      </c>
    </row>
    <row r="745" spans="1:10" x14ac:dyDescent="0.35">
      <c r="A745">
        <v>737</v>
      </c>
      <c r="B745">
        <v>668.80083598013528</v>
      </c>
      <c r="C745">
        <v>737</v>
      </c>
      <c r="D745">
        <v>689.62075113141498</v>
      </c>
      <c r="E745">
        <v>737</v>
      </c>
      <c r="F745">
        <v>277.10613561276193</v>
      </c>
      <c r="G745">
        <v>737</v>
      </c>
      <c r="H745">
        <v>305.40377638838493</v>
      </c>
      <c r="I745">
        <v>737</v>
      </c>
      <c r="J745">
        <v>-94.805775532617119</v>
      </c>
    </row>
    <row r="746" spans="1:10" x14ac:dyDescent="0.35">
      <c r="A746">
        <v>738</v>
      </c>
      <c r="B746">
        <v>531.47847452516021</v>
      </c>
      <c r="C746">
        <v>738</v>
      </c>
      <c r="D746">
        <v>684.99850238424301</v>
      </c>
      <c r="E746">
        <v>738</v>
      </c>
      <c r="F746">
        <v>-186.33125377208097</v>
      </c>
      <c r="G746">
        <v>738</v>
      </c>
      <c r="H746">
        <v>190.60763237502414</v>
      </c>
      <c r="I746">
        <v>738</v>
      </c>
      <c r="J746">
        <v>215.40550511154419</v>
      </c>
    </row>
    <row r="747" spans="1:10" x14ac:dyDescent="0.35">
      <c r="A747">
        <v>739</v>
      </c>
      <c r="B747">
        <v>917.95560956246834</v>
      </c>
      <c r="C747">
        <v>739</v>
      </c>
      <c r="D747">
        <v>294.86211042438606</v>
      </c>
      <c r="E747">
        <v>739</v>
      </c>
      <c r="F747">
        <v>362.93176858262461</v>
      </c>
      <c r="G747">
        <v>739</v>
      </c>
      <c r="H747">
        <v>-283.23803544587241</v>
      </c>
      <c r="I747">
        <v>739</v>
      </c>
      <c r="J747">
        <v>-723.92767861821699</v>
      </c>
    </row>
    <row r="748" spans="1:10" x14ac:dyDescent="0.35">
      <c r="A748">
        <v>740</v>
      </c>
      <c r="B748">
        <v>436.97615595453874</v>
      </c>
      <c r="C748">
        <v>740</v>
      </c>
      <c r="D748">
        <v>676.6742016978942</v>
      </c>
      <c r="E748">
        <v>740</v>
      </c>
      <c r="F748">
        <v>66.255264920997249</v>
      </c>
      <c r="G748">
        <v>740</v>
      </c>
      <c r="H748">
        <v>373.94428569036171</v>
      </c>
      <c r="I748">
        <v>740</v>
      </c>
      <c r="J748">
        <v>-46.044425310726325</v>
      </c>
    </row>
    <row r="749" spans="1:10" x14ac:dyDescent="0.35">
      <c r="A749">
        <v>741</v>
      </c>
      <c r="B749">
        <v>716.32108538196076</v>
      </c>
      <c r="C749">
        <v>741</v>
      </c>
      <c r="D749">
        <v>475.25343017859223</v>
      </c>
      <c r="E749">
        <v>741</v>
      </c>
      <c r="F749">
        <v>202.08053455611034</v>
      </c>
      <c r="G749">
        <v>741</v>
      </c>
      <c r="H749">
        <v>93.165020191251642</v>
      </c>
      <c r="I749">
        <v>741</v>
      </c>
      <c r="J749">
        <v>3.3812401932383978</v>
      </c>
    </row>
    <row r="750" spans="1:10" x14ac:dyDescent="0.35">
      <c r="A750">
        <v>742</v>
      </c>
      <c r="B750">
        <v>768.07985532040584</v>
      </c>
      <c r="C750">
        <v>742</v>
      </c>
      <c r="D750">
        <v>511.83984572783811</v>
      </c>
      <c r="E750">
        <v>742</v>
      </c>
      <c r="F750">
        <v>-416.95566488907764</v>
      </c>
      <c r="G750">
        <v>742</v>
      </c>
      <c r="H750">
        <v>222.57748972706287</v>
      </c>
      <c r="I750">
        <v>742</v>
      </c>
      <c r="J750">
        <v>-152.73706826157206</v>
      </c>
    </row>
    <row r="751" spans="1:10" x14ac:dyDescent="0.35">
      <c r="A751">
        <v>743</v>
      </c>
      <c r="B751">
        <v>703.37410434446269</v>
      </c>
      <c r="C751">
        <v>743</v>
      </c>
      <c r="D751">
        <v>995.2550644211849</v>
      </c>
      <c r="E751">
        <v>743</v>
      </c>
      <c r="F751">
        <v>400.980273784151</v>
      </c>
      <c r="G751">
        <v>743</v>
      </c>
      <c r="H751">
        <v>446.14823583292593</v>
      </c>
      <c r="I751">
        <v>743</v>
      </c>
      <c r="J751">
        <v>-835.18387270829601</v>
      </c>
    </row>
    <row r="752" spans="1:10" x14ac:dyDescent="0.35">
      <c r="A752">
        <v>744</v>
      </c>
      <c r="B752">
        <v>805.87432080286453</v>
      </c>
      <c r="C752">
        <v>744</v>
      </c>
      <c r="D752">
        <v>497.48664043462327</v>
      </c>
      <c r="E752">
        <v>744</v>
      </c>
      <c r="F752">
        <v>317.80078654559441</v>
      </c>
      <c r="G752">
        <v>744</v>
      </c>
      <c r="H752">
        <v>629.83682982418338</v>
      </c>
      <c r="I752">
        <v>744</v>
      </c>
      <c r="J752">
        <v>-185.00798689565289</v>
      </c>
    </row>
    <row r="753" spans="1:10" x14ac:dyDescent="0.35">
      <c r="A753">
        <v>745</v>
      </c>
      <c r="B753">
        <v>817.24570496317801</v>
      </c>
      <c r="C753">
        <v>745</v>
      </c>
      <c r="D753">
        <v>766.33751205307783</v>
      </c>
      <c r="E753">
        <v>745</v>
      </c>
      <c r="F753">
        <v>423.21343141839685</v>
      </c>
      <c r="G753">
        <v>745</v>
      </c>
      <c r="H753">
        <v>229.30754772954006</v>
      </c>
      <c r="I753">
        <v>745</v>
      </c>
      <c r="J753">
        <v>-517.78837440610619</v>
      </c>
    </row>
    <row r="754" spans="1:10" x14ac:dyDescent="0.35">
      <c r="A754">
        <v>746</v>
      </c>
      <c r="B754">
        <v>634.95727526832604</v>
      </c>
      <c r="C754">
        <v>746</v>
      </c>
      <c r="D754">
        <v>793.79337464805508</v>
      </c>
      <c r="E754">
        <v>746</v>
      </c>
      <c r="F754">
        <v>362.59693209180364</v>
      </c>
      <c r="G754">
        <v>746</v>
      </c>
      <c r="H754">
        <v>108.23269934016446</v>
      </c>
      <c r="I754">
        <v>746</v>
      </c>
      <c r="J754">
        <v>-126.14195940625409</v>
      </c>
    </row>
    <row r="755" spans="1:10" x14ac:dyDescent="0.35">
      <c r="A755">
        <v>747</v>
      </c>
      <c r="B755">
        <v>840.77988906795508</v>
      </c>
      <c r="C755">
        <v>747</v>
      </c>
      <c r="D755">
        <v>677.13630368757833</v>
      </c>
      <c r="E755">
        <v>747</v>
      </c>
      <c r="F755">
        <v>-179.61000300264513</v>
      </c>
      <c r="G755">
        <v>747</v>
      </c>
      <c r="H755">
        <v>490.91444844737521</v>
      </c>
      <c r="I755">
        <v>747</v>
      </c>
      <c r="J755">
        <v>-156.61610855428998</v>
      </c>
    </row>
    <row r="756" spans="1:10" x14ac:dyDescent="0.35">
      <c r="A756">
        <v>748</v>
      </c>
      <c r="B756">
        <v>778.93580700998552</v>
      </c>
      <c r="C756">
        <v>748</v>
      </c>
      <c r="D756">
        <v>627.71519291711661</v>
      </c>
      <c r="E756">
        <v>748</v>
      </c>
      <c r="F756">
        <v>-48.001815379219892</v>
      </c>
      <c r="G756">
        <v>748</v>
      </c>
      <c r="H756">
        <v>415.93638895784522</v>
      </c>
      <c r="I756">
        <v>748</v>
      </c>
      <c r="J756">
        <v>70.498159627391374</v>
      </c>
    </row>
    <row r="757" spans="1:10" x14ac:dyDescent="0.35">
      <c r="A757">
        <v>749</v>
      </c>
      <c r="B757">
        <v>647.25464327242219</v>
      </c>
      <c r="C757">
        <v>749</v>
      </c>
      <c r="D757">
        <v>810.64443721066118</v>
      </c>
      <c r="E757">
        <v>749</v>
      </c>
      <c r="F757">
        <v>302.32303119129801</v>
      </c>
      <c r="G757">
        <v>749</v>
      </c>
      <c r="H757">
        <v>200.27354101481126</v>
      </c>
      <c r="I757">
        <v>749</v>
      </c>
      <c r="J757">
        <v>27.793063155096803</v>
      </c>
    </row>
    <row r="758" spans="1:10" x14ac:dyDescent="0.35">
      <c r="A758">
        <v>750</v>
      </c>
      <c r="B758">
        <v>663.24284971006182</v>
      </c>
      <c r="C758">
        <v>750</v>
      </c>
      <c r="D758">
        <v>839.58788000599338</v>
      </c>
      <c r="E758">
        <v>750</v>
      </c>
      <c r="F758">
        <v>-223.66499017716512</v>
      </c>
      <c r="G758">
        <v>750</v>
      </c>
      <c r="H758">
        <v>618.51863954848704</v>
      </c>
      <c r="I758">
        <v>750</v>
      </c>
      <c r="J758">
        <v>-183.82458975200086</v>
      </c>
    </row>
    <row r="759" spans="1:10" x14ac:dyDescent="0.35">
      <c r="A759">
        <v>751</v>
      </c>
      <c r="B759">
        <v>554.14709346447728</v>
      </c>
      <c r="C759">
        <v>751</v>
      </c>
      <c r="D759">
        <v>585.18011002427625</v>
      </c>
      <c r="E759">
        <v>751</v>
      </c>
      <c r="F759">
        <v>-211.15315588495577</v>
      </c>
      <c r="G759">
        <v>751</v>
      </c>
      <c r="H759">
        <v>301.09096196355625</v>
      </c>
      <c r="I759">
        <v>751</v>
      </c>
      <c r="J759">
        <v>298.68592283257448</v>
      </c>
    </row>
    <row r="760" spans="1:10" x14ac:dyDescent="0.35">
      <c r="A760">
        <v>752</v>
      </c>
      <c r="B760">
        <v>777.46369150271244</v>
      </c>
      <c r="C760">
        <v>752</v>
      </c>
      <c r="D760">
        <v>579.27284808547574</v>
      </c>
      <c r="E760">
        <v>752</v>
      </c>
      <c r="F760">
        <v>-262.03461000839832</v>
      </c>
      <c r="G760">
        <v>752</v>
      </c>
      <c r="H760">
        <v>-114.29247267470777</v>
      </c>
      <c r="I760">
        <v>752</v>
      </c>
      <c r="J760">
        <v>-304.70925325347713</v>
      </c>
    </row>
    <row r="761" spans="1:10" x14ac:dyDescent="0.35">
      <c r="A761">
        <v>753</v>
      </c>
      <c r="B761">
        <v>464.89868357715375</v>
      </c>
      <c r="C761">
        <v>753</v>
      </c>
      <c r="D761">
        <v>935.40524573166931</v>
      </c>
      <c r="E761">
        <v>753</v>
      </c>
      <c r="F761">
        <v>-121.96746854044679</v>
      </c>
      <c r="G761">
        <v>753</v>
      </c>
      <c r="H761">
        <v>440.70464544154328</v>
      </c>
      <c r="I761">
        <v>753</v>
      </c>
      <c r="J761">
        <v>-484.72412991265372</v>
      </c>
    </row>
    <row r="762" spans="1:10" x14ac:dyDescent="0.35">
      <c r="A762">
        <v>754</v>
      </c>
      <c r="B762">
        <v>576.605474818983</v>
      </c>
      <c r="C762">
        <v>754</v>
      </c>
      <c r="D762">
        <v>575.3801238195847</v>
      </c>
      <c r="E762">
        <v>754</v>
      </c>
      <c r="F762">
        <v>189.01535461933997</v>
      </c>
      <c r="G762">
        <v>754</v>
      </c>
      <c r="H762">
        <v>65.183367519217256</v>
      </c>
      <c r="I762">
        <v>754</v>
      </c>
      <c r="J762">
        <v>130.80563552709117</v>
      </c>
    </row>
    <row r="763" spans="1:10" x14ac:dyDescent="0.35">
      <c r="A763">
        <v>755</v>
      </c>
      <c r="B763">
        <v>622.22978958187412</v>
      </c>
      <c r="C763">
        <v>755</v>
      </c>
      <c r="D763">
        <v>485.60597132585235</v>
      </c>
      <c r="E763">
        <v>755</v>
      </c>
      <c r="F763">
        <v>331.65568422921814</v>
      </c>
      <c r="G763">
        <v>755</v>
      </c>
      <c r="H763">
        <v>128.94089277364424</v>
      </c>
      <c r="I763">
        <v>755</v>
      </c>
      <c r="J763">
        <v>-494.91636673653716</v>
      </c>
    </row>
    <row r="764" spans="1:10" x14ac:dyDescent="0.35">
      <c r="A764">
        <v>756</v>
      </c>
      <c r="B764">
        <v>826.77841506012794</v>
      </c>
      <c r="C764">
        <v>756</v>
      </c>
      <c r="D764">
        <v>738.47460940104861</v>
      </c>
      <c r="E764">
        <v>756</v>
      </c>
      <c r="F764">
        <v>394.06332815383888</v>
      </c>
      <c r="G764">
        <v>756</v>
      </c>
      <c r="H764">
        <v>1038.2505347583042</v>
      </c>
      <c r="I764">
        <v>756</v>
      </c>
      <c r="J764">
        <v>101.75596446468137</v>
      </c>
    </row>
    <row r="765" spans="1:10" x14ac:dyDescent="0.35">
      <c r="A765">
        <v>757</v>
      </c>
      <c r="B765">
        <v>689.71912795394974</v>
      </c>
      <c r="C765">
        <v>757</v>
      </c>
      <c r="D765">
        <v>927.1947155534499</v>
      </c>
      <c r="E765">
        <v>757</v>
      </c>
      <c r="F765">
        <v>141.88263222850605</v>
      </c>
      <c r="G765">
        <v>757</v>
      </c>
      <c r="H765">
        <v>1026.0320786549332</v>
      </c>
      <c r="I765">
        <v>757</v>
      </c>
      <c r="J765">
        <v>-450.36845284384322</v>
      </c>
    </row>
    <row r="766" spans="1:10" x14ac:dyDescent="0.35">
      <c r="A766">
        <v>758</v>
      </c>
      <c r="B766">
        <v>275.95258042036625</v>
      </c>
      <c r="C766">
        <v>758</v>
      </c>
      <c r="D766">
        <v>680.07132369666397</v>
      </c>
      <c r="E766">
        <v>758</v>
      </c>
      <c r="F766">
        <v>475.71934777113631</v>
      </c>
      <c r="G766">
        <v>758</v>
      </c>
      <c r="H766">
        <v>286.34019625803307</v>
      </c>
      <c r="I766">
        <v>758</v>
      </c>
      <c r="J766">
        <v>-171.7406453660376</v>
      </c>
    </row>
    <row r="767" spans="1:10" x14ac:dyDescent="0.35">
      <c r="A767">
        <v>759</v>
      </c>
      <c r="B767">
        <v>410.14499546798561</v>
      </c>
      <c r="C767">
        <v>759</v>
      </c>
      <c r="D767">
        <v>639.82415345998015</v>
      </c>
      <c r="E767">
        <v>759</v>
      </c>
      <c r="F767">
        <v>116.17651301761552</v>
      </c>
      <c r="G767">
        <v>759</v>
      </c>
      <c r="H767">
        <v>763.52485239090765</v>
      </c>
      <c r="I767">
        <v>759</v>
      </c>
      <c r="J767">
        <v>-257.0521030369888</v>
      </c>
    </row>
    <row r="768" spans="1:10" x14ac:dyDescent="0.35">
      <c r="A768">
        <v>760</v>
      </c>
      <c r="B768">
        <v>513.40982364687375</v>
      </c>
      <c r="C768">
        <v>760</v>
      </c>
      <c r="D768">
        <v>222.33826577000519</v>
      </c>
      <c r="E768">
        <v>760</v>
      </c>
      <c r="F768">
        <v>47.716292881508068</v>
      </c>
      <c r="G768">
        <v>760</v>
      </c>
      <c r="H768">
        <v>478.39496601252819</v>
      </c>
      <c r="I768">
        <v>760</v>
      </c>
      <c r="J768">
        <v>-363.5689128694944</v>
      </c>
    </row>
    <row r="769" spans="1:10" x14ac:dyDescent="0.35">
      <c r="A769">
        <v>761</v>
      </c>
      <c r="B769">
        <v>1071.563574831689</v>
      </c>
      <c r="C769">
        <v>761</v>
      </c>
      <c r="D769">
        <v>507.23005406753407</v>
      </c>
      <c r="E769">
        <v>761</v>
      </c>
      <c r="F769">
        <v>276.10793884255253</v>
      </c>
      <c r="G769">
        <v>761</v>
      </c>
      <c r="H769">
        <v>447.45092464841326</v>
      </c>
      <c r="I769">
        <v>761</v>
      </c>
      <c r="J769">
        <v>-354.35898142460576</v>
      </c>
    </row>
    <row r="770" spans="1:10" x14ac:dyDescent="0.35">
      <c r="A770">
        <v>762</v>
      </c>
      <c r="B770">
        <v>1281.3259263035015</v>
      </c>
      <c r="C770">
        <v>762</v>
      </c>
      <c r="D770">
        <v>331.77111178750204</v>
      </c>
      <c r="E770">
        <v>762</v>
      </c>
      <c r="F770">
        <v>206.9513826208547</v>
      </c>
      <c r="G770">
        <v>762</v>
      </c>
      <c r="H770">
        <v>15.931798003606673</v>
      </c>
      <c r="I770">
        <v>762</v>
      </c>
      <c r="J770">
        <v>-750.87701059979611</v>
      </c>
    </row>
    <row r="771" spans="1:10" x14ac:dyDescent="0.35">
      <c r="A771">
        <v>763</v>
      </c>
      <c r="B771">
        <v>761.81391092464503</v>
      </c>
      <c r="C771">
        <v>763</v>
      </c>
      <c r="D771">
        <v>1006.6284279825787</v>
      </c>
      <c r="E771">
        <v>763</v>
      </c>
      <c r="F771">
        <v>-111.97962989007598</v>
      </c>
      <c r="G771">
        <v>763</v>
      </c>
      <c r="H771">
        <v>702.38479031915563</v>
      </c>
      <c r="I771">
        <v>763</v>
      </c>
      <c r="J771">
        <v>-368.08391123386377</v>
      </c>
    </row>
    <row r="772" spans="1:10" x14ac:dyDescent="0.35">
      <c r="A772">
        <v>764</v>
      </c>
      <c r="B772">
        <v>428.09125010587809</v>
      </c>
      <c r="C772">
        <v>764</v>
      </c>
      <c r="D772">
        <v>902.43555530006893</v>
      </c>
      <c r="E772">
        <v>764</v>
      </c>
      <c r="F772">
        <v>359.1830199466624</v>
      </c>
      <c r="G772">
        <v>764</v>
      </c>
      <c r="H772">
        <v>835.66553700696227</v>
      </c>
      <c r="I772">
        <v>764</v>
      </c>
      <c r="J772">
        <v>-143.78368107647231</v>
      </c>
    </row>
    <row r="773" spans="1:10" x14ac:dyDescent="0.35">
      <c r="A773">
        <v>765</v>
      </c>
      <c r="B773">
        <v>638.25710674545905</v>
      </c>
      <c r="C773">
        <v>765</v>
      </c>
      <c r="D773">
        <v>687.20019151084387</v>
      </c>
      <c r="E773">
        <v>765</v>
      </c>
      <c r="F773">
        <v>67.578189883845283</v>
      </c>
      <c r="G773">
        <v>765</v>
      </c>
      <c r="H773">
        <v>-36.10349128491373</v>
      </c>
      <c r="I773">
        <v>765</v>
      </c>
      <c r="J773">
        <v>-337.24189186402577</v>
      </c>
    </row>
    <row r="774" spans="1:10" x14ac:dyDescent="0.35">
      <c r="A774">
        <v>766</v>
      </c>
      <c r="B774">
        <v>883.84172217828507</v>
      </c>
      <c r="C774">
        <v>766</v>
      </c>
      <c r="D774">
        <v>668.46493804590295</v>
      </c>
      <c r="E774">
        <v>766</v>
      </c>
      <c r="F774">
        <v>207.42930906436993</v>
      </c>
      <c r="G774">
        <v>766</v>
      </c>
      <c r="H774">
        <v>145.03958228855942</v>
      </c>
      <c r="I774">
        <v>766</v>
      </c>
      <c r="J774">
        <v>-789.96835331732768</v>
      </c>
    </row>
    <row r="775" spans="1:10" x14ac:dyDescent="0.35">
      <c r="A775">
        <v>767</v>
      </c>
      <c r="B775">
        <v>999.1733593953079</v>
      </c>
      <c r="C775">
        <v>767</v>
      </c>
      <c r="D775">
        <v>599.9439345892572</v>
      </c>
      <c r="E775">
        <v>767</v>
      </c>
      <c r="F775">
        <v>5.2996058333699949</v>
      </c>
      <c r="G775">
        <v>767</v>
      </c>
      <c r="H775">
        <v>447.60489561139718</v>
      </c>
      <c r="I775">
        <v>767</v>
      </c>
      <c r="J775">
        <v>-274.00126080105883</v>
      </c>
    </row>
    <row r="776" spans="1:10" x14ac:dyDescent="0.35">
      <c r="A776">
        <v>768</v>
      </c>
      <c r="B776">
        <v>363.14776760002025</v>
      </c>
      <c r="C776">
        <v>768</v>
      </c>
      <c r="D776">
        <v>541.87101588515645</v>
      </c>
      <c r="E776">
        <v>768</v>
      </c>
      <c r="F776">
        <v>-89.904262495297758</v>
      </c>
      <c r="G776">
        <v>768</v>
      </c>
      <c r="H776">
        <v>932.81180845227038</v>
      </c>
      <c r="I776">
        <v>768</v>
      </c>
      <c r="J776">
        <v>-12.850354715903279</v>
      </c>
    </row>
    <row r="777" spans="1:10" x14ac:dyDescent="0.35">
      <c r="A777">
        <v>769</v>
      </c>
      <c r="B777">
        <v>1084.4122679329982</v>
      </c>
      <c r="C777">
        <v>769</v>
      </c>
      <c r="D777">
        <v>623.51962261444976</v>
      </c>
      <c r="E777">
        <v>769</v>
      </c>
      <c r="F777">
        <v>-121.26223685957279</v>
      </c>
      <c r="G777">
        <v>769</v>
      </c>
      <c r="H777">
        <v>585.93531727355617</v>
      </c>
      <c r="I777">
        <v>769</v>
      </c>
      <c r="J777">
        <v>101.04187937318073</v>
      </c>
    </row>
    <row r="778" spans="1:10" x14ac:dyDescent="0.35">
      <c r="A778">
        <v>770</v>
      </c>
      <c r="B778">
        <v>782.11371485324685</v>
      </c>
      <c r="C778">
        <v>770</v>
      </c>
      <c r="D778">
        <v>935.47201219164413</v>
      </c>
      <c r="E778">
        <v>770</v>
      </c>
      <c r="F778">
        <v>26.311305610022508</v>
      </c>
      <c r="G778">
        <v>770</v>
      </c>
      <c r="H778">
        <v>323.90150541924322</v>
      </c>
      <c r="I778">
        <v>770</v>
      </c>
      <c r="J778">
        <v>424.63515899355309</v>
      </c>
    </row>
    <row r="779" spans="1:10" x14ac:dyDescent="0.35">
      <c r="A779">
        <v>771</v>
      </c>
      <c r="B779">
        <v>626.48267186864894</v>
      </c>
      <c r="C779">
        <v>771</v>
      </c>
      <c r="D779">
        <v>750.22776445998568</v>
      </c>
      <c r="E779">
        <v>771</v>
      </c>
      <c r="F779">
        <v>203.19642766145711</v>
      </c>
      <c r="G779">
        <v>771</v>
      </c>
      <c r="H779">
        <v>629.7539809079442</v>
      </c>
      <c r="I779">
        <v>771</v>
      </c>
      <c r="J779">
        <v>-777.67700935968128</v>
      </c>
    </row>
    <row r="780" spans="1:10" x14ac:dyDescent="0.35">
      <c r="A780">
        <v>772</v>
      </c>
      <c r="B780">
        <v>848.01648274340369</v>
      </c>
      <c r="C780">
        <v>772</v>
      </c>
      <c r="D780">
        <v>728.67570678211803</v>
      </c>
      <c r="E780">
        <v>772</v>
      </c>
      <c r="F780">
        <v>558.42561043566729</v>
      </c>
      <c r="G780">
        <v>772</v>
      </c>
      <c r="H780">
        <v>-41.61604237633594</v>
      </c>
      <c r="I780">
        <v>772</v>
      </c>
      <c r="J780">
        <v>-248.78658579831148</v>
      </c>
    </row>
    <row r="781" spans="1:10" x14ac:dyDescent="0.35">
      <c r="A781">
        <v>773</v>
      </c>
      <c r="B781">
        <v>642.023173710724</v>
      </c>
      <c r="C781">
        <v>773</v>
      </c>
      <c r="D781">
        <v>748.97403240772348</v>
      </c>
      <c r="E781">
        <v>773</v>
      </c>
      <c r="F781">
        <v>304.30625940688094</v>
      </c>
      <c r="G781">
        <v>773</v>
      </c>
      <c r="H781">
        <v>1253.8642934389943</v>
      </c>
      <c r="I781">
        <v>773</v>
      </c>
      <c r="J781">
        <v>-382.39076193624453</v>
      </c>
    </row>
    <row r="782" spans="1:10" x14ac:dyDescent="0.35">
      <c r="A782">
        <v>774</v>
      </c>
      <c r="B782">
        <v>685.87149218703019</v>
      </c>
      <c r="C782">
        <v>774</v>
      </c>
      <c r="D782">
        <v>693.01551786222342</v>
      </c>
      <c r="E782">
        <v>774</v>
      </c>
      <c r="F782">
        <v>-136.8519014951836</v>
      </c>
      <c r="G782">
        <v>774</v>
      </c>
      <c r="H782">
        <v>345.4480318550298</v>
      </c>
      <c r="I782">
        <v>774</v>
      </c>
      <c r="J782">
        <v>-224.36714885690117</v>
      </c>
    </row>
    <row r="783" spans="1:10" x14ac:dyDescent="0.35">
      <c r="A783">
        <v>775</v>
      </c>
      <c r="B783">
        <v>390.19234670830957</v>
      </c>
      <c r="C783">
        <v>775</v>
      </c>
      <c r="D783">
        <v>711.34659158540353</v>
      </c>
      <c r="E783">
        <v>775</v>
      </c>
      <c r="F783">
        <v>-150.88940545510678</v>
      </c>
      <c r="G783">
        <v>775</v>
      </c>
      <c r="H783">
        <v>-47.051735862948135</v>
      </c>
      <c r="I783">
        <v>775</v>
      </c>
      <c r="J783">
        <v>49.386278927093144</v>
      </c>
    </row>
    <row r="784" spans="1:10" x14ac:dyDescent="0.35">
      <c r="A784">
        <v>776</v>
      </c>
      <c r="B784">
        <v>446.46272955502542</v>
      </c>
      <c r="C784">
        <v>776</v>
      </c>
      <c r="D784">
        <v>343.44247872147156</v>
      </c>
      <c r="E784">
        <v>776</v>
      </c>
      <c r="F784">
        <v>-148.48863894880154</v>
      </c>
      <c r="G784">
        <v>776</v>
      </c>
      <c r="H784">
        <v>464.20398378736871</v>
      </c>
      <c r="I784">
        <v>776</v>
      </c>
      <c r="J784">
        <v>-586.52954177977631</v>
      </c>
    </row>
    <row r="785" spans="1:10" x14ac:dyDescent="0.35">
      <c r="A785">
        <v>777</v>
      </c>
      <c r="B785">
        <v>511.55376490132289</v>
      </c>
      <c r="C785">
        <v>777</v>
      </c>
      <c r="D785">
        <v>430.98332642191633</v>
      </c>
      <c r="E785">
        <v>777</v>
      </c>
      <c r="F785">
        <v>62.655998422816765</v>
      </c>
      <c r="G785">
        <v>777</v>
      </c>
      <c r="H785">
        <v>824.84687537099546</v>
      </c>
      <c r="I785">
        <v>777</v>
      </c>
      <c r="J785">
        <v>66.81612486732655</v>
      </c>
    </row>
    <row r="786" spans="1:10" x14ac:dyDescent="0.35">
      <c r="A786">
        <v>778</v>
      </c>
      <c r="B786">
        <v>584.94587613081308</v>
      </c>
      <c r="C786">
        <v>778</v>
      </c>
      <c r="D786">
        <v>976.48138262003067</v>
      </c>
      <c r="E786">
        <v>778</v>
      </c>
      <c r="F786">
        <v>-71.406368649555588</v>
      </c>
      <c r="G786">
        <v>778</v>
      </c>
      <c r="H786">
        <v>629.57069001013917</v>
      </c>
      <c r="I786">
        <v>778</v>
      </c>
      <c r="J786">
        <v>-254.87030180919857</v>
      </c>
    </row>
    <row r="787" spans="1:10" x14ac:dyDescent="0.35">
      <c r="A787">
        <v>779</v>
      </c>
      <c r="B787">
        <v>892.35766553804831</v>
      </c>
      <c r="C787">
        <v>779</v>
      </c>
      <c r="D787">
        <v>531.58928760136541</v>
      </c>
      <c r="E787">
        <v>779</v>
      </c>
      <c r="F787">
        <v>-98.892082227896168</v>
      </c>
      <c r="G787">
        <v>779</v>
      </c>
      <c r="H787">
        <v>368.93189405160587</v>
      </c>
      <c r="I787">
        <v>779</v>
      </c>
      <c r="J787">
        <v>103.19861179672301</v>
      </c>
    </row>
    <row r="788" spans="1:10" x14ac:dyDescent="0.35">
      <c r="A788">
        <v>780</v>
      </c>
      <c r="B788">
        <v>789.17481366161769</v>
      </c>
      <c r="C788">
        <v>780</v>
      </c>
      <c r="D788">
        <v>579.64965814712468</v>
      </c>
      <c r="E788">
        <v>780</v>
      </c>
      <c r="F788">
        <v>-86.673247071836045</v>
      </c>
      <c r="G788">
        <v>780</v>
      </c>
      <c r="H788">
        <v>672.39374990679107</v>
      </c>
      <c r="I788">
        <v>780</v>
      </c>
      <c r="J788">
        <v>-277.39604847062418</v>
      </c>
    </row>
    <row r="789" spans="1:10" x14ac:dyDescent="0.35">
      <c r="A789">
        <v>781</v>
      </c>
      <c r="B789">
        <v>749.5736932057157</v>
      </c>
      <c r="C789">
        <v>781</v>
      </c>
      <c r="D789">
        <v>584.19897840224212</v>
      </c>
      <c r="E789">
        <v>781</v>
      </c>
      <c r="F789">
        <v>-201.07975166365878</v>
      </c>
      <c r="G789">
        <v>781</v>
      </c>
      <c r="H789">
        <v>702.76394474049664</v>
      </c>
      <c r="I789">
        <v>781</v>
      </c>
      <c r="J789">
        <v>232.36386202269284</v>
      </c>
    </row>
    <row r="790" spans="1:10" x14ac:dyDescent="0.35">
      <c r="A790">
        <v>782</v>
      </c>
      <c r="B790">
        <v>457.47943748242449</v>
      </c>
      <c r="C790">
        <v>782</v>
      </c>
      <c r="D790">
        <v>488.93023259607048</v>
      </c>
      <c r="E790">
        <v>782</v>
      </c>
      <c r="F790">
        <v>429.15343602960343</v>
      </c>
      <c r="G790">
        <v>782</v>
      </c>
      <c r="H790">
        <v>31.842276966847123</v>
      </c>
      <c r="I790">
        <v>782</v>
      </c>
      <c r="J790">
        <v>-467.78223634057383</v>
      </c>
    </row>
    <row r="791" spans="1:10" x14ac:dyDescent="0.35">
      <c r="A791">
        <v>783</v>
      </c>
      <c r="B791">
        <v>390.64003714681678</v>
      </c>
      <c r="C791">
        <v>783</v>
      </c>
      <c r="D791">
        <v>706.06930197200654</v>
      </c>
      <c r="E791">
        <v>783</v>
      </c>
      <c r="F791">
        <v>258.20360825206234</v>
      </c>
      <c r="G791">
        <v>783</v>
      </c>
      <c r="H791">
        <v>469.61782357125946</v>
      </c>
      <c r="I791">
        <v>783</v>
      </c>
      <c r="J791">
        <v>-761.55647622128254</v>
      </c>
    </row>
    <row r="792" spans="1:10" x14ac:dyDescent="0.35">
      <c r="A792">
        <v>784</v>
      </c>
      <c r="B792">
        <v>571.80701641976555</v>
      </c>
      <c r="C792">
        <v>784</v>
      </c>
      <c r="D792">
        <v>613.20647295737069</v>
      </c>
      <c r="E792">
        <v>784</v>
      </c>
      <c r="F792">
        <v>-239.87771043073644</v>
      </c>
      <c r="G792">
        <v>784</v>
      </c>
      <c r="H792">
        <v>643.5242067965354</v>
      </c>
      <c r="I792">
        <v>784</v>
      </c>
      <c r="J792">
        <v>-504.75454714085578</v>
      </c>
    </row>
    <row r="793" spans="1:10" x14ac:dyDescent="0.35">
      <c r="A793">
        <v>785</v>
      </c>
      <c r="B793">
        <v>596.22554250552491</v>
      </c>
      <c r="C793">
        <v>785</v>
      </c>
      <c r="D793">
        <v>635.43963239968059</v>
      </c>
      <c r="E793">
        <v>785</v>
      </c>
      <c r="F793">
        <v>-10.578204398975856</v>
      </c>
      <c r="G793">
        <v>785</v>
      </c>
      <c r="H793">
        <v>695.11443246501119</v>
      </c>
      <c r="I793">
        <v>785</v>
      </c>
      <c r="J793">
        <v>-129.29122865924847</v>
      </c>
    </row>
    <row r="794" spans="1:10" x14ac:dyDescent="0.35">
      <c r="A794">
        <v>786</v>
      </c>
      <c r="B794">
        <v>731.88875978172337</v>
      </c>
      <c r="C794">
        <v>786</v>
      </c>
      <c r="D794">
        <v>640.31165821868137</v>
      </c>
      <c r="E794">
        <v>786</v>
      </c>
      <c r="F794">
        <v>44.034584586407028</v>
      </c>
      <c r="G794">
        <v>786</v>
      </c>
      <c r="H794">
        <v>94.004109796785826</v>
      </c>
      <c r="I794">
        <v>786</v>
      </c>
      <c r="J794">
        <v>-552.34321212874397</v>
      </c>
    </row>
    <row r="795" spans="1:10" x14ac:dyDescent="0.35">
      <c r="A795">
        <v>787</v>
      </c>
      <c r="B795">
        <v>480.58528843521071</v>
      </c>
      <c r="C795">
        <v>787</v>
      </c>
      <c r="D795">
        <v>344.04632886681344</v>
      </c>
      <c r="E795">
        <v>787</v>
      </c>
      <c r="F795">
        <v>80.217041787199008</v>
      </c>
      <c r="G795">
        <v>787</v>
      </c>
      <c r="H795">
        <v>434.9108711060955</v>
      </c>
      <c r="I795">
        <v>787</v>
      </c>
      <c r="J795">
        <v>-210.95155917419288</v>
      </c>
    </row>
    <row r="796" spans="1:10" x14ac:dyDescent="0.35">
      <c r="A796">
        <v>788</v>
      </c>
      <c r="B796">
        <v>693.6399837061598</v>
      </c>
      <c r="C796">
        <v>788</v>
      </c>
      <c r="D796">
        <v>742.90436735141077</v>
      </c>
      <c r="E796">
        <v>788</v>
      </c>
      <c r="F796">
        <v>-12.023746070710828</v>
      </c>
      <c r="G796">
        <v>788</v>
      </c>
      <c r="H796">
        <v>-39.041348397915272</v>
      </c>
      <c r="I796">
        <v>788</v>
      </c>
      <c r="J796">
        <v>77.117445811439552</v>
      </c>
    </row>
    <row r="797" spans="1:10" x14ac:dyDescent="0.35">
      <c r="A797">
        <v>789</v>
      </c>
      <c r="B797">
        <v>465.3448713518502</v>
      </c>
      <c r="C797">
        <v>789</v>
      </c>
      <c r="D797">
        <v>699.7170179672529</v>
      </c>
      <c r="E797">
        <v>789</v>
      </c>
      <c r="F797">
        <v>-237.87650652425521</v>
      </c>
      <c r="G797">
        <v>789</v>
      </c>
      <c r="H797">
        <v>465.5246355159955</v>
      </c>
      <c r="I797">
        <v>789</v>
      </c>
      <c r="J797">
        <v>-764.69120329683403</v>
      </c>
    </row>
    <row r="798" spans="1:10" x14ac:dyDescent="0.35">
      <c r="A798">
        <v>790</v>
      </c>
      <c r="B798">
        <v>1036.6711793190379</v>
      </c>
      <c r="C798">
        <v>790</v>
      </c>
      <c r="D798">
        <v>602.40577558898906</v>
      </c>
      <c r="E798">
        <v>790</v>
      </c>
      <c r="F798">
        <v>88.033051005353073</v>
      </c>
      <c r="G798">
        <v>790</v>
      </c>
      <c r="H798">
        <v>145.85524720457727</v>
      </c>
      <c r="I798">
        <v>790</v>
      </c>
      <c r="J798">
        <v>-496.66881290601543</v>
      </c>
    </row>
    <row r="799" spans="1:10" x14ac:dyDescent="0.35">
      <c r="A799">
        <v>791</v>
      </c>
      <c r="B799">
        <v>338.27308302327549</v>
      </c>
      <c r="C799">
        <v>791</v>
      </c>
      <c r="D799">
        <v>268.58097416045109</v>
      </c>
      <c r="E799">
        <v>791</v>
      </c>
      <c r="F799">
        <v>-128.96261908811758</v>
      </c>
      <c r="G799">
        <v>791</v>
      </c>
      <c r="H799">
        <v>725.08430848997932</v>
      </c>
      <c r="I799">
        <v>791</v>
      </c>
      <c r="J799">
        <v>-396.18659231292611</v>
      </c>
    </row>
    <row r="800" spans="1:10" x14ac:dyDescent="0.35">
      <c r="A800">
        <v>792</v>
      </c>
      <c r="B800">
        <v>621.94912893140531</v>
      </c>
      <c r="C800">
        <v>792</v>
      </c>
      <c r="D800">
        <v>446.90978308195224</v>
      </c>
      <c r="E800">
        <v>792</v>
      </c>
      <c r="F800">
        <v>73.430695658040705</v>
      </c>
      <c r="G800">
        <v>792</v>
      </c>
      <c r="H800">
        <v>74.935813684691539</v>
      </c>
      <c r="I800">
        <v>792</v>
      </c>
      <c r="J800">
        <v>-367.86000517492965</v>
      </c>
    </row>
    <row r="801" spans="1:10" x14ac:dyDescent="0.35">
      <c r="A801">
        <v>793</v>
      </c>
      <c r="B801">
        <v>755.30681670291324</v>
      </c>
      <c r="C801">
        <v>793</v>
      </c>
      <c r="D801">
        <v>618.16001218736676</v>
      </c>
      <c r="E801">
        <v>793</v>
      </c>
      <c r="F801">
        <v>257.0903494371392</v>
      </c>
      <c r="G801">
        <v>793</v>
      </c>
      <c r="H801">
        <v>871.19378820273459</v>
      </c>
      <c r="I801">
        <v>793</v>
      </c>
      <c r="J801">
        <v>-261.64881516487026</v>
      </c>
    </row>
    <row r="802" spans="1:10" x14ac:dyDescent="0.35">
      <c r="A802">
        <v>794</v>
      </c>
      <c r="B802">
        <v>690.63193709366794</v>
      </c>
      <c r="C802">
        <v>794</v>
      </c>
      <c r="D802">
        <v>248.09990956308064</v>
      </c>
      <c r="E802">
        <v>794</v>
      </c>
      <c r="F802">
        <v>-120.19090219216631</v>
      </c>
      <c r="G802">
        <v>794</v>
      </c>
      <c r="H802">
        <v>572.23680842119381</v>
      </c>
      <c r="I802">
        <v>794</v>
      </c>
      <c r="J802">
        <v>-500.49225390013277</v>
      </c>
    </row>
    <row r="803" spans="1:10" x14ac:dyDescent="0.35">
      <c r="A803">
        <v>795</v>
      </c>
      <c r="B803">
        <v>385.55708112563718</v>
      </c>
      <c r="C803">
        <v>795</v>
      </c>
      <c r="D803">
        <v>794.76340216369385</v>
      </c>
      <c r="E803">
        <v>795</v>
      </c>
      <c r="F803">
        <v>-388.34646184438435</v>
      </c>
      <c r="G803">
        <v>795</v>
      </c>
      <c r="H803">
        <v>1225.2769241135773</v>
      </c>
      <c r="I803">
        <v>795</v>
      </c>
      <c r="J803">
        <v>-599.53391298258566</v>
      </c>
    </row>
    <row r="804" spans="1:10" x14ac:dyDescent="0.35">
      <c r="A804">
        <v>796</v>
      </c>
      <c r="B804">
        <v>680.64329899731194</v>
      </c>
      <c r="C804">
        <v>796</v>
      </c>
      <c r="D804">
        <v>517.83136168450892</v>
      </c>
      <c r="E804">
        <v>796</v>
      </c>
      <c r="F804">
        <v>82.136078465966946</v>
      </c>
      <c r="G804">
        <v>796</v>
      </c>
      <c r="H804">
        <v>799.20982712483101</v>
      </c>
      <c r="I804">
        <v>796</v>
      </c>
      <c r="J804">
        <v>-68.480394858195638</v>
      </c>
    </row>
    <row r="805" spans="1:10" x14ac:dyDescent="0.35">
      <c r="A805">
        <v>797</v>
      </c>
      <c r="B805">
        <v>783.74227991215082</v>
      </c>
      <c r="C805">
        <v>797</v>
      </c>
      <c r="D805">
        <v>862.71100640208317</v>
      </c>
      <c r="E805">
        <v>797</v>
      </c>
      <c r="F805">
        <v>106.6907445464599</v>
      </c>
      <c r="G805">
        <v>797</v>
      </c>
      <c r="H805">
        <v>628.62849061226416</v>
      </c>
      <c r="I805">
        <v>797</v>
      </c>
      <c r="J805">
        <v>25.502315708099246</v>
      </c>
    </row>
    <row r="806" spans="1:10" x14ac:dyDescent="0.35">
      <c r="A806">
        <v>798</v>
      </c>
      <c r="B806">
        <v>898.96291689191412</v>
      </c>
      <c r="C806">
        <v>798</v>
      </c>
      <c r="D806">
        <v>809.06402243057505</v>
      </c>
      <c r="E806">
        <v>798</v>
      </c>
      <c r="F806">
        <v>100.08019357328621</v>
      </c>
      <c r="G806">
        <v>798</v>
      </c>
      <c r="H806">
        <v>-72.396177094167399</v>
      </c>
      <c r="I806">
        <v>798</v>
      </c>
      <c r="J806">
        <v>391.37470837448654</v>
      </c>
    </row>
    <row r="807" spans="1:10" x14ac:dyDescent="0.35">
      <c r="A807">
        <v>799</v>
      </c>
      <c r="B807">
        <v>653.45811567982571</v>
      </c>
      <c r="C807">
        <v>799</v>
      </c>
      <c r="D807">
        <v>573.50728468336149</v>
      </c>
      <c r="E807">
        <v>799</v>
      </c>
      <c r="F807">
        <v>305.79134537333789</v>
      </c>
      <c r="G807">
        <v>799</v>
      </c>
      <c r="H807">
        <v>787.9217590199321</v>
      </c>
      <c r="I807">
        <v>799</v>
      </c>
      <c r="J807">
        <v>-95.515301108313167</v>
      </c>
    </row>
    <row r="808" spans="1:10" x14ac:dyDescent="0.35">
      <c r="A808">
        <v>800</v>
      </c>
      <c r="B808">
        <v>680.63932566152675</v>
      </c>
      <c r="C808">
        <v>800</v>
      </c>
      <c r="D808">
        <v>1083.1628177693765</v>
      </c>
      <c r="E808">
        <v>800</v>
      </c>
      <c r="F808">
        <v>50.33730901414539</v>
      </c>
      <c r="G808">
        <v>800</v>
      </c>
      <c r="H808">
        <v>979.81684089805981</v>
      </c>
      <c r="I808">
        <v>800</v>
      </c>
      <c r="J808">
        <v>-292.37468723781052</v>
      </c>
    </row>
    <row r="809" spans="1:10" x14ac:dyDescent="0.35">
      <c r="A809">
        <v>801</v>
      </c>
      <c r="B809">
        <v>610.68464328462096</v>
      </c>
      <c r="C809">
        <v>801</v>
      </c>
      <c r="D809">
        <v>435.42504933868884</v>
      </c>
      <c r="E809">
        <v>801</v>
      </c>
      <c r="F809">
        <v>15.306075195451982</v>
      </c>
      <c r="G809">
        <v>801</v>
      </c>
      <c r="H809">
        <v>788.1841868646909</v>
      </c>
      <c r="I809">
        <v>801</v>
      </c>
      <c r="J809">
        <v>112.97460593094274</v>
      </c>
    </row>
    <row r="810" spans="1:10" x14ac:dyDescent="0.35">
      <c r="A810">
        <v>802</v>
      </c>
      <c r="B810">
        <v>736.91477495326035</v>
      </c>
      <c r="C810">
        <v>802</v>
      </c>
      <c r="D810">
        <v>410.79194037533313</v>
      </c>
      <c r="E810">
        <v>802</v>
      </c>
      <c r="F810">
        <v>240.12448224430051</v>
      </c>
      <c r="G810">
        <v>802</v>
      </c>
      <c r="H810">
        <v>733.37137820061048</v>
      </c>
      <c r="I810">
        <v>802</v>
      </c>
      <c r="J810">
        <v>-304.1370966122289</v>
      </c>
    </row>
    <row r="811" spans="1:10" x14ac:dyDescent="0.35">
      <c r="A811">
        <v>803</v>
      </c>
      <c r="B811">
        <v>458.12479431568534</v>
      </c>
      <c r="C811">
        <v>803</v>
      </c>
      <c r="D811">
        <v>281.73355197541292</v>
      </c>
      <c r="E811">
        <v>803</v>
      </c>
      <c r="F811">
        <v>-287.57651102991264</v>
      </c>
      <c r="G811">
        <v>803</v>
      </c>
      <c r="H811">
        <v>414.69929081835568</v>
      </c>
      <c r="I811">
        <v>803</v>
      </c>
      <c r="J811">
        <v>-616.15399818346873</v>
      </c>
    </row>
    <row r="812" spans="1:10" x14ac:dyDescent="0.35">
      <c r="A812">
        <v>804</v>
      </c>
      <c r="B812">
        <v>627.53560809048179</v>
      </c>
      <c r="C812">
        <v>804</v>
      </c>
      <c r="D812">
        <v>974.65263767040642</v>
      </c>
      <c r="E812">
        <v>804</v>
      </c>
      <c r="F812">
        <v>392.13951687047125</v>
      </c>
      <c r="G812">
        <v>804</v>
      </c>
      <c r="H812">
        <v>376.42505279439632</v>
      </c>
      <c r="I812">
        <v>804</v>
      </c>
      <c r="J812">
        <v>-518.33343948336665</v>
      </c>
    </row>
    <row r="813" spans="1:10" x14ac:dyDescent="0.35">
      <c r="A813">
        <v>805</v>
      </c>
      <c r="B813">
        <v>731.09183008284356</v>
      </c>
      <c r="C813">
        <v>805</v>
      </c>
      <c r="D813">
        <v>770.60401396546467</v>
      </c>
      <c r="E813">
        <v>805</v>
      </c>
      <c r="F813">
        <v>-571.29576389435931</v>
      </c>
      <c r="G813">
        <v>805</v>
      </c>
      <c r="H813">
        <v>471.14710887879556</v>
      </c>
      <c r="I813">
        <v>805</v>
      </c>
      <c r="J813">
        <v>118.97127725167439</v>
      </c>
    </row>
    <row r="814" spans="1:10" x14ac:dyDescent="0.35">
      <c r="A814">
        <v>806</v>
      </c>
      <c r="B814">
        <v>425.54375773211996</v>
      </c>
      <c r="C814">
        <v>806</v>
      </c>
      <c r="D814">
        <v>719.93519436945576</v>
      </c>
      <c r="E814">
        <v>806</v>
      </c>
      <c r="F814">
        <v>59.090470026519768</v>
      </c>
      <c r="G814">
        <v>806</v>
      </c>
      <c r="H814">
        <v>611.47575382308059</v>
      </c>
      <c r="I814">
        <v>806</v>
      </c>
      <c r="J814">
        <v>-165.26330192161583</v>
      </c>
    </row>
    <row r="815" spans="1:10" x14ac:dyDescent="0.35">
      <c r="A815">
        <v>807</v>
      </c>
      <c r="B815">
        <v>392.12039065409004</v>
      </c>
      <c r="C815">
        <v>807</v>
      </c>
      <c r="D815">
        <v>723.48682107282343</v>
      </c>
      <c r="E815">
        <v>807</v>
      </c>
      <c r="F815">
        <v>-31.864725656302397</v>
      </c>
      <c r="G815">
        <v>807</v>
      </c>
      <c r="H815">
        <v>340.5109869015987</v>
      </c>
      <c r="I815">
        <v>807</v>
      </c>
      <c r="J815">
        <v>-547.98756270852141</v>
      </c>
    </row>
    <row r="816" spans="1:10" x14ac:dyDescent="0.35">
      <c r="A816">
        <v>808</v>
      </c>
      <c r="B816">
        <v>949.06451455222611</v>
      </c>
      <c r="C816">
        <v>808</v>
      </c>
      <c r="D816">
        <v>744.3596705032802</v>
      </c>
      <c r="E816">
        <v>808</v>
      </c>
      <c r="F816">
        <v>102.33841919591914</v>
      </c>
      <c r="G816">
        <v>808</v>
      </c>
      <c r="H816">
        <v>767.90754170172613</v>
      </c>
      <c r="I816">
        <v>808</v>
      </c>
      <c r="J816">
        <v>297.48298845721467</v>
      </c>
    </row>
    <row r="817" spans="1:10" x14ac:dyDescent="0.35">
      <c r="A817">
        <v>809</v>
      </c>
      <c r="B817">
        <v>972.28068355441565</v>
      </c>
      <c r="C817">
        <v>809</v>
      </c>
      <c r="D817">
        <v>550.05706929787425</v>
      </c>
      <c r="E817">
        <v>809</v>
      </c>
      <c r="F817">
        <v>380.09984981836533</v>
      </c>
      <c r="G817">
        <v>809</v>
      </c>
      <c r="H817">
        <v>809.51271302283908</v>
      </c>
      <c r="I817">
        <v>809</v>
      </c>
      <c r="J817">
        <v>-166.22127854092724</v>
      </c>
    </row>
    <row r="818" spans="1:10" x14ac:dyDescent="0.35">
      <c r="A818">
        <v>810</v>
      </c>
      <c r="B818">
        <v>342.25544772571874</v>
      </c>
      <c r="C818">
        <v>810</v>
      </c>
      <c r="D818">
        <v>363.68161267985585</v>
      </c>
      <c r="E818">
        <v>810</v>
      </c>
      <c r="F818">
        <v>183.75417020631494</v>
      </c>
      <c r="G818">
        <v>810</v>
      </c>
      <c r="H818">
        <v>485.31135566468447</v>
      </c>
      <c r="I818">
        <v>810</v>
      </c>
      <c r="J818">
        <v>-265.82619315116824</v>
      </c>
    </row>
    <row r="819" spans="1:10" x14ac:dyDescent="0.35">
      <c r="A819">
        <v>811</v>
      </c>
      <c r="B819">
        <v>211.1737128051891</v>
      </c>
      <c r="C819">
        <v>811</v>
      </c>
      <c r="D819">
        <v>437.15394619353151</v>
      </c>
      <c r="E819">
        <v>811</v>
      </c>
      <c r="F819">
        <v>-227.70352392772975</v>
      </c>
      <c r="G819">
        <v>811</v>
      </c>
      <c r="H819">
        <v>205.69304441882099</v>
      </c>
      <c r="I819">
        <v>811</v>
      </c>
      <c r="J819">
        <v>577.82950375849725</v>
      </c>
    </row>
    <row r="820" spans="1:10" x14ac:dyDescent="0.35">
      <c r="A820">
        <v>812</v>
      </c>
      <c r="B820">
        <v>302.08855636519093</v>
      </c>
      <c r="C820">
        <v>812</v>
      </c>
      <c r="D820">
        <v>431.92753295412354</v>
      </c>
      <c r="E820">
        <v>812</v>
      </c>
      <c r="F820">
        <v>72.734870107609055</v>
      </c>
      <c r="G820">
        <v>812</v>
      </c>
      <c r="H820">
        <v>491.73375554652921</v>
      </c>
      <c r="I820">
        <v>812</v>
      </c>
      <c r="J820">
        <v>-487.9683102865722</v>
      </c>
    </row>
    <row r="821" spans="1:10" x14ac:dyDescent="0.35">
      <c r="A821">
        <v>813</v>
      </c>
      <c r="B821">
        <v>651.67530964064088</v>
      </c>
      <c r="C821">
        <v>813</v>
      </c>
      <c r="D821">
        <v>735.65409002410638</v>
      </c>
      <c r="E821">
        <v>813</v>
      </c>
      <c r="F821">
        <v>1.2731492847120052</v>
      </c>
      <c r="G821">
        <v>813</v>
      </c>
      <c r="H821">
        <v>660.89136503160785</v>
      </c>
      <c r="I821">
        <v>813</v>
      </c>
      <c r="J821">
        <v>-467.27230277204944</v>
      </c>
    </row>
    <row r="822" spans="1:10" x14ac:dyDescent="0.35">
      <c r="A822">
        <v>814</v>
      </c>
      <c r="B822">
        <v>791.32032845327763</v>
      </c>
      <c r="C822">
        <v>814</v>
      </c>
      <c r="D822">
        <v>379.64785146577361</v>
      </c>
      <c r="E822">
        <v>814</v>
      </c>
      <c r="F822">
        <v>145.91550015126546</v>
      </c>
      <c r="G822">
        <v>814</v>
      </c>
      <c r="H822">
        <v>356.71438339565611</v>
      </c>
      <c r="I822">
        <v>814</v>
      </c>
      <c r="J822">
        <v>-710.24062623405791</v>
      </c>
    </row>
    <row r="823" spans="1:10" x14ac:dyDescent="0.35">
      <c r="A823">
        <v>815</v>
      </c>
      <c r="B823">
        <v>988.84772054558937</v>
      </c>
      <c r="C823">
        <v>815</v>
      </c>
      <c r="D823">
        <v>360.84749756423611</v>
      </c>
      <c r="E823">
        <v>815</v>
      </c>
      <c r="F823">
        <v>150.87561321138799</v>
      </c>
      <c r="G823">
        <v>815</v>
      </c>
      <c r="H823">
        <v>-91.057694528850277</v>
      </c>
      <c r="I823">
        <v>815</v>
      </c>
      <c r="J823">
        <v>121.95670072138188</v>
      </c>
    </row>
    <row r="824" spans="1:10" x14ac:dyDescent="0.35">
      <c r="A824">
        <v>816</v>
      </c>
      <c r="B824">
        <v>679.58514651589371</v>
      </c>
      <c r="C824">
        <v>816</v>
      </c>
      <c r="D824">
        <v>505.34204011739575</v>
      </c>
      <c r="E824">
        <v>816</v>
      </c>
      <c r="F824">
        <v>277.33889500783334</v>
      </c>
      <c r="G824">
        <v>816</v>
      </c>
      <c r="H824">
        <v>973.44662950072484</v>
      </c>
      <c r="I824">
        <v>816</v>
      </c>
      <c r="J824">
        <v>-480.84425968201566</v>
      </c>
    </row>
    <row r="825" spans="1:10" x14ac:dyDescent="0.35">
      <c r="A825">
        <v>817</v>
      </c>
      <c r="B825">
        <v>710.77857024803347</v>
      </c>
      <c r="C825">
        <v>817</v>
      </c>
      <c r="D825">
        <v>939.41565395100565</v>
      </c>
      <c r="E825">
        <v>817</v>
      </c>
      <c r="F825">
        <v>-182.85498597632051</v>
      </c>
      <c r="G825">
        <v>817</v>
      </c>
      <c r="H825">
        <v>962.05002904407866</v>
      </c>
      <c r="I825">
        <v>817</v>
      </c>
      <c r="J825">
        <v>-208.25390914801221</v>
      </c>
    </row>
    <row r="826" spans="1:10" x14ac:dyDescent="0.35">
      <c r="A826">
        <v>818</v>
      </c>
      <c r="B826">
        <v>721.52605376077872</v>
      </c>
      <c r="C826">
        <v>818</v>
      </c>
      <c r="D826">
        <v>744.95361721116308</v>
      </c>
      <c r="E826">
        <v>818</v>
      </c>
      <c r="F826">
        <v>68.823010384627992</v>
      </c>
      <c r="G826">
        <v>818</v>
      </c>
      <c r="H826">
        <v>730.10362138480718</v>
      </c>
      <c r="I826">
        <v>818</v>
      </c>
      <c r="J826">
        <v>-166.43636965707043</v>
      </c>
    </row>
    <row r="827" spans="1:10" x14ac:dyDescent="0.35">
      <c r="A827">
        <v>819</v>
      </c>
      <c r="B827">
        <v>446.49683753616239</v>
      </c>
      <c r="C827">
        <v>819</v>
      </c>
      <c r="D827">
        <v>216.51027644304486</v>
      </c>
      <c r="E827">
        <v>819</v>
      </c>
      <c r="F827">
        <v>76.066954294747276</v>
      </c>
      <c r="G827">
        <v>819</v>
      </c>
      <c r="H827">
        <v>606.96328545687447</v>
      </c>
      <c r="I827">
        <v>819</v>
      </c>
      <c r="J827">
        <v>-348.84130744079562</v>
      </c>
    </row>
    <row r="828" spans="1:10" x14ac:dyDescent="0.35">
      <c r="A828">
        <v>820</v>
      </c>
      <c r="B828">
        <v>853.63332467545581</v>
      </c>
      <c r="C828">
        <v>820</v>
      </c>
      <c r="D828">
        <v>781.49789862469834</v>
      </c>
      <c r="E828">
        <v>820</v>
      </c>
      <c r="F828">
        <v>135.65708211818077</v>
      </c>
      <c r="G828">
        <v>820</v>
      </c>
      <c r="H828">
        <v>176.36725267082608</v>
      </c>
      <c r="I828">
        <v>820</v>
      </c>
      <c r="J828">
        <v>-736.19482408462989</v>
      </c>
    </row>
    <row r="829" spans="1:10" x14ac:dyDescent="0.35">
      <c r="A829">
        <v>821</v>
      </c>
      <c r="B829">
        <v>639.05580782389291</v>
      </c>
      <c r="C829">
        <v>821</v>
      </c>
      <c r="D829">
        <v>935.70973096617558</v>
      </c>
      <c r="E829">
        <v>821</v>
      </c>
      <c r="F829">
        <v>492.86589145069047</v>
      </c>
      <c r="G829">
        <v>821</v>
      </c>
      <c r="H829">
        <v>1531.7628508803714</v>
      </c>
      <c r="I829">
        <v>821</v>
      </c>
      <c r="J829">
        <v>-309.57344540804326</v>
      </c>
    </row>
    <row r="830" spans="1:10" x14ac:dyDescent="0.35">
      <c r="A830">
        <v>822</v>
      </c>
      <c r="B830">
        <v>462.21037105280357</v>
      </c>
      <c r="C830">
        <v>822</v>
      </c>
      <c r="D830">
        <v>486.38246231425842</v>
      </c>
      <c r="E830">
        <v>822</v>
      </c>
      <c r="F830">
        <v>57.488528722393688</v>
      </c>
      <c r="G830">
        <v>822</v>
      </c>
      <c r="H830">
        <v>1055.4515134982482</v>
      </c>
      <c r="I830">
        <v>822</v>
      </c>
      <c r="J830">
        <v>-55.654045951180024</v>
      </c>
    </row>
    <row r="831" spans="1:10" x14ac:dyDescent="0.35">
      <c r="A831">
        <v>823</v>
      </c>
      <c r="B831">
        <v>629.65823970418967</v>
      </c>
      <c r="C831">
        <v>823</v>
      </c>
      <c r="D831">
        <v>959.06634623902175</v>
      </c>
      <c r="E831">
        <v>823</v>
      </c>
      <c r="F831">
        <v>-209.88981124271874</v>
      </c>
      <c r="G831">
        <v>823</v>
      </c>
      <c r="H831">
        <v>372.11027778392088</v>
      </c>
      <c r="I831">
        <v>823</v>
      </c>
      <c r="J831">
        <v>-1200.7523329523619</v>
      </c>
    </row>
    <row r="832" spans="1:10" x14ac:dyDescent="0.35">
      <c r="A832">
        <v>824</v>
      </c>
      <c r="B832">
        <v>516.66032775777785</v>
      </c>
      <c r="C832">
        <v>824</v>
      </c>
      <c r="D832">
        <v>591.71919139933937</v>
      </c>
      <c r="E832">
        <v>824</v>
      </c>
      <c r="F832">
        <v>-81.458252130326059</v>
      </c>
      <c r="G832">
        <v>824</v>
      </c>
      <c r="H832">
        <v>467.67959235352862</v>
      </c>
      <c r="I832">
        <v>824</v>
      </c>
      <c r="J832">
        <v>-137.89431619563314</v>
      </c>
    </row>
    <row r="833" spans="1:10" x14ac:dyDescent="0.35">
      <c r="A833">
        <v>825</v>
      </c>
      <c r="B833">
        <v>705.7413673157838</v>
      </c>
      <c r="C833">
        <v>825</v>
      </c>
      <c r="D833">
        <v>649.22108364295923</v>
      </c>
      <c r="E833">
        <v>825</v>
      </c>
      <c r="F833">
        <v>194.16985293400381</v>
      </c>
      <c r="G833">
        <v>825</v>
      </c>
      <c r="H833">
        <v>-16.346157926507374</v>
      </c>
      <c r="I833">
        <v>825</v>
      </c>
      <c r="J833">
        <v>-61.545357922777526</v>
      </c>
    </row>
    <row r="834" spans="1:10" x14ac:dyDescent="0.35">
      <c r="A834">
        <v>826</v>
      </c>
      <c r="B834">
        <v>1264.820852469104</v>
      </c>
      <c r="C834">
        <v>826</v>
      </c>
      <c r="D834">
        <v>646.81818298822066</v>
      </c>
      <c r="E834">
        <v>826</v>
      </c>
      <c r="F834">
        <v>178.62200855399698</v>
      </c>
      <c r="G834">
        <v>826</v>
      </c>
      <c r="H834">
        <v>310.08916902406804</v>
      </c>
      <c r="I834">
        <v>826</v>
      </c>
      <c r="J834">
        <v>-629.16398948100164</v>
      </c>
    </row>
    <row r="835" spans="1:10" x14ac:dyDescent="0.35">
      <c r="A835">
        <v>827</v>
      </c>
      <c r="B835">
        <v>850.60083177003787</v>
      </c>
      <c r="C835">
        <v>827</v>
      </c>
      <c r="D835">
        <v>588.11563664433606</v>
      </c>
      <c r="E835">
        <v>827</v>
      </c>
      <c r="F835">
        <v>108.93095138872982</v>
      </c>
      <c r="G835">
        <v>827</v>
      </c>
      <c r="H835">
        <v>547.54963850853073</v>
      </c>
      <c r="I835">
        <v>827</v>
      </c>
      <c r="J835">
        <v>-420.92001252255909</v>
      </c>
    </row>
    <row r="836" spans="1:10" x14ac:dyDescent="0.35">
      <c r="A836">
        <v>828</v>
      </c>
      <c r="B836">
        <v>776.26482454717575</v>
      </c>
      <c r="C836">
        <v>828</v>
      </c>
      <c r="D836">
        <v>968.47352511303097</v>
      </c>
      <c r="E836">
        <v>828</v>
      </c>
      <c r="F836">
        <v>-244.71642328603758</v>
      </c>
      <c r="G836">
        <v>828</v>
      </c>
      <c r="H836">
        <v>148.06686222695538</v>
      </c>
      <c r="I836">
        <v>828</v>
      </c>
      <c r="J836">
        <v>-288.45307219370812</v>
      </c>
    </row>
    <row r="837" spans="1:10" x14ac:dyDescent="0.35">
      <c r="A837">
        <v>829</v>
      </c>
      <c r="B837">
        <v>560.23122392311291</v>
      </c>
      <c r="C837">
        <v>829</v>
      </c>
      <c r="D837">
        <v>230.29502391426263</v>
      </c>
      <c r="E837">
        <v>829</v>
      </c>
      <c r="F837">
        <v>183.18782426090544</v>
      </c>
      <c r="G837">
        <v>829</v>
      </c>
      <c r="H837">
        <v>7.7532209156448175</v>
      </c>
      <c r="I837">
        <v>829</v>
      </c>
      <c r="J837">
        <v>-293.00525145346273</v>
      </c>
    </row>
    <row r="838" spans="1:10" x14ac:dyDescent="0.35">
      <c r="A838">
        <v>830</v>
      </c>
      <c r="B838">
        <v>782.44102678774755</v>
      </c>
      <c r="C838">
        <v>830</v>
      </c>
      <c r="D838">
        <v>485.7629017100989</v>
      </c>
      <c r="E838">
        <v>830</v>
      </c>
      <c r="F838">
        <v>353.61016470596411</v>
      </c>
      <c r="G838">
        <v>830</v>
      </c>
      <c r="H838">
        <v>442.91094932201918</v>
      </c>
      <c r="I838">
        <v>830</v>
      </c>
      <c r="J838">
        <v>-704.41855435025946</v>
      </c>
    </row>
    <row r="839" spans="1:10" x14ac:dyDescent="0.35">
      <c r="A839">
        <v>831</v>
      </c>
      <c r="B839">
        <v>496.45301385539221</v>
      </c>
      <c r="C839">
        <v>831</v>
      </c>
      <c r="D839">
        <v>623.55734886924392</v>
      </c>
      <c r="E839">
        <v>831</v>
      </c>
      <c r="F839">
        <v>-77.850548534905272</v>
      </c>
      <c r="G839">
        <v>831</v>
      </c>
      <c r="H839">
        <v>79.372429495644042</v>
      </c>
      <c r="I839">
        <v>831</v>
      </c>
      <c r="J839">
        <v>171.53313146645525</v>
      </c>
    </row>
    <row r="840" spans="1:10" x14ac:dyDescent="0.35">
      <c r="A840">
        <v>832</v>
      </c>
      <c r="B840">
        <v>470.48720380413283</v>
      </c>
      <c r="C840">
        <v>832</v>
      </c>
      <c r="D840">
        <v>256.48071546196303</v>
      </c>
      <c r="E840">
        <v>832</v>
      </c>
      <c r="F840">
        <v>240.79602352661098</v>
      </c>
      <c r="G840">
        <v>832</v>
      </c>
      <c r="H840">
        <v>945.51455788297665</v>
      </c>
      <c r="I840">
        <v>832</v>
      </c>
      <c r="J840">
        <v>-194.9746424617064</v>
      </c>
    </row>
    <row r="841" spans="1:10" x14ac:dyDescent="0.35">
      <c r="A841">
        <v>833</v>
      </c>
      <c r="B841">
        <v>441.61227206854363</v>
      </c>
      <c r="C841">
        <v>833</v>
      </c>
      <c r="D841">
        <v>758.15733263285233</v>
      </c>
      <c r="E841">
        <v>833</v>
      </c>
      <c r="F841">
        <v>-80.541388857146245</v>
      </c>
      <c r="G841">
        <v>833</v>
      </c>
      <c r="H841">
        <v>736.07997251125221</v>
      </c>
      <c r="I841">
        <v>833</v>
      </c>
      <c r="J841">
        <v>-259.16346841583857</v>
      </c>
    </row>
    <row r="842" spans="1:10" x14ac:dyDescent="0.35">
      <c r="A842">
        <v>834</v>
      </c>
      <c r="B842">
        <v>492.27698035230276</v>
      </c>
      <c r="C842">
        <v>834</v>
      </c>
      <c r="D842">
        <v>757.15804392126734</v>
      </c>
      <c r="E842">
        <v>834</v>
      </c>
      <c r="F842">
        <v>-121.58423521536005</v>
      </c>
      <c r="G842">
        <v>834</v>
      </c>
      <c r="H842">
        <v>834.74041441392342</v>
      </c>
      <c r="I842">
        <v>834</v>
      </c>
      <c r="J842">
        <v>-58.856324398968326</v>
      </c>
    </row>
    <row r="843" spans="1:10" x14ac:dyDescent="0.35">
      <c r="A843">
        <v>835</v>
      </c>
      <c r="B843">
        <v>380.99099948467517</v>
      </c>
      <c r="C843">
        <v>835</v>
      </c>
      <c r="D843">
        <v>583.74863247457552</v>
      </c>
      <c r="E843">
        <v>835</v>
      </c>
      <c r="F843">
        <v>-358.83963046104174</v>
      </c>
      <c r="G843">
        <v>835</v>
      </c>
      <c r="H843">
        <v>193.16447896732478</v>
      </c>
      <c r="I843">
        <v>835</v>
      </c>
      <c r="J843">
        <v>-158.00214650343389</v>
      </c>
    </row>
    <row r="844" spans="1:10" x14ac:dyDescent="0.35">
      <c r="A844">
        <v>836</v>
      </c>
      <c r="B844">
        <v>776.75726627982783</v>
      </c>
      <c r="C844">
        <v>836</v>
      </c>
      <c r="D844">
        <v>489.44129258584996</v>
      </c>
      <c r="E844">
        <v>836</v>
      </c>
      <c r="F844">
        <v>281.31690027862442</v>
      </c>
      <c r="G844">
        <v>836</v>
      </c>
      <c r="H844">
        <v>201.93565312187951</v>
      </c>
      <c r="I844">
        <v>836</v>
      </c>
      <c r="J844">
        <v>-500.8033039145451</v>
      </c>
    </row>
    <row r="845" spans="1:10" x14ac:dyDescent="0.35">
      <c r="A845">
        <v>837</v>
      </c>
      <c r="B845">
        <v>928.70145471342312</v>
      </c>
      <c r="C845">
        <v>837</v>
      </c>
      <c r="D845">
        <v>640.13739450632056</v>
      </c>
      <c r="E845">
        <v>837</v>
      </c>
      <c r="F845">
        <v>346.91045339404758</v>
      </c>
      <c r="G845">
        <v>837</v>
      </c>
      <c r="H845">
        <v>1390.0581053030401</v>
      </c>
      <c r="I845">
        <v>837</v>
      </c>
      <c r="J845">
        <v>-596.61878217792764</v>
      </c>
    </row>
    <row r="846" spans="1:10" x14ac:dyDescent="0.35">
      <c r="A846">
        <v>838</v>
      </c>
      <c r="B846">
        <v>793.03297973889312</v>
      </c>
      <c r="C846">
        <v>838</v>
      </c>
      <c r="D846">
        <v>668.7561612640784</v>
      </c>
      <c r="E846">
        <v>838</v>
      </c>
      <c r="F846">
        <v>-16.085851021735692</v>
      </c>
      <c r="G846">
        <v>838</v>
      </c>
      <c r="H846">
        <v>794.88233741085332</v>
      </c>
      <c r="I846">
        <v>838</v>
      </c>
      <c r="J846">
        <v>-117.94473360084638</v>
      </c>
    </row>
    <row r="847" spans="1:10" x14ac:dyDescent="0.35">
      <c r="A847">
        <v>839</v>
      </c>
      <c r="B847">
        <v>434.37569562794147</v>
      </c>
      <c r="C847">
        <v>839</v>
      </c>
      <c r="D847">
        <v>588.40754885364834</v>
      </c>
      <c r="E847">
        <v>839</v>
      </c>
      <c r="F847">
        <v>-67.081786773130403</v>
      </c>
      <c r="G847">
        <v>839</v>
      </c>
      <c r="H847">
        <v>588.02678033406528</v>
      </c>
      <c r="I847">
        <v>839</v>
      </c>
      <c r="J847">
        <v>218.38670235915629</v>
      </c>
    </row>
    <row r="848" spans="1:10" x14ac:dyDescent="0.35">
      <c r="A848">
        <v>840</v>
      </c>
      <c r="B848">
        <v>872.33145435225879</v>
      </c>
      <c r="C848">
        <v>840</v>
      </c>
      <c r="D848">
        <v>768.59696924658067</v>
      </c>
      <c r="E848">
        <v>840</v>
      </c>
      <c r="F848">
        <v>167.71109755580875</v>
      </c>
      <c r="G848">
        <v>840</v>
      </c>
      <c r="H848">
        <v>1001.5135987198164</v>
      </c>
      <c r="I848">
        <v>840</v>
      </c>
      <c r="J848">
        <v>-433.05326381970053</v>
      </c>
    </row>
    <row r="849" spans="1:10" x14ac:dyDescent="0.35">
      <c r="A849">
        <v>841</v>
      </c>
      <c r="B849">
        <v>701.83083114577278</v>
      </c>
      <c r="C849">
        <v>841</v>
      </c>
      <c r="D849">
        <v>802.18449461498631</v>
      </c>
      <c r="E849">
        <v>841</v>
      </c>
      <c r="F849">
        <v>3.7986378627420549</v>
      </c>
      <c r="G849">
        <v>841</v>
      </c>
      <c r="H849">
        <v>181.83059372236954</v>
      </c>
      <c r="I849">
        <v>841</v>
      </c>
      <c r="J849">
        <v>-423.55463387906764</v>
      </c>
    </row>
    <row r="850" spans="1:10" x14ac:dyDescent="0.35">
      <c r="A850">
        <v>842</v>
      </c>
      <c r="B850">
        <v>781.65375126942706</v>
      </c>
      <c r="C850">
        <v>842</v>
      </c>
      <c r="D850">
        <v>592.2944140186064</v>
      </c>
      <c r="E850">
        <v>842</v>
      </c>
      <c r="F850">
        <v>460.67004602625059</v>
      </c>
      <c r="G850">
        <v>842</v>
      </c>
      <c r="H850">
        <v>386.98427397094451</v>
      </c>
      <c r="I850">
        <v>842</v>
      </c>
      <c r="J850">
        <v>148.8490428849027</v>
      </c>
    </row>
    <row r="851" spans="1:10" x14ac:dyDescent="0.35">
      <c r="A851">
        <v>843</v>
      </c>
      <c r="B851">
        <v>818.3151419896285</v>
      </c>
      <c r="C851">
        <v>843</v>
      </c>
      <c r="D851">
        <v>670.37728091867746</v>
      </c>
      <c r="E851">
        <v>843</v>
      </c>
      <c r="F851">
        <v>459.82476379269252</v>
      </c>
      <c r="G851">
        <v>843</v>
      </c>
      <c r="H851">
        <v>355.66155495812347</v>
      </c>
      <c r="I851">
        <v>843</v>
      </c>
      <c r="J851">
        <v>-339.59034216367206</v>
      </c>
    </row>
    <row r="852" spans="1:10" x14ac:dyDescent="0.35">
      <c r="A852">
        <v>844</v>
      </c>
      <c r="B852">
        <v>701.70076457905122</v>
      </c>
      <c r="C852">
        <v>844</v>
      </c>
      <c r="D852">
        <v>913.01239536343587</v>
      </c>
      <c r="E852">
        <v>844</v>
      </c>
      <c r="F852">
        <v>37.137223052289144</v>
      </c>
      <c r="G852">
        <v>844</v>
      </c>
      <c r="H852">
        <v>941.60396354546936</v>
      </c>
      <c r="I852">
        <v>844</v>
      </c>
      <c r="J852">
        <v>-401.57442590227492</v>
      </c>
    </row>
    <row r="853" spans="1:10" x14ac:dyDescent="0.35">
      <c r="A853">
        <v>845</v>
      </c>
      <c r="B853">
        <v>529.71535593738804</v>
      </c>
      <c r="C853">
        <v>845</v>
      </c>
      <c r="D853">
        <v>851.5475522532347</v>
      </c>
      <c r="E853">
        <v>845</v>
      </c>
      <c r="F853">
        <v>-50.459168632650986</v>
      </c>
      <c r="G853">
        <v>845</v>
      </c>
      <c r="H853">
        <v>521.31009090427267</v>
      </c>
      <c r="I853">
        <v>845</v>
      </c>
      <c r="J853">
        <v>-436.73516183063538</v>
      </c>
    </row>
    <row r="854" spans="1:10" x14ac:dyDescent="0.35">
      <c r="A854">
        <v>846</v>
      </c>
      <c r="B854">
        <v>796.67553479245476</v>
      </c>
      <c r="C854">
        <v>846</v>
      </c>
      <c r="D854">
        <v>731.48730201478008</v>
      </c>
      <c r="E854">
        <v>846</v>
      </c>
      <c r="F854">
        <v>-12.53082367683804</v>
      </c>
      <c r="G854">
        <v>846</v>
      </c>
      <c r="H854">
        <v>429.32939082928084</v>
      </c>
      <c r="I854">
        <v>846</v>
      </c>
      <c r="J854">
        <v>-834.01512082334978</v>
      </c>
    </row>
    <row r="855" spans="1:10" x14ac:dyDescent="0.35">
      <c r="A855">
        <v>847</v>
      </c>
      <c r="B855">
        <v>725.00882970097825</v>
      </c>
      <c r="C855">
        <v>847</v>
      </c>
      <c r="D855">
        <v>137.67710665187616</v>
      </c>
      <c r="E855">
        <v>847</v>
      </c>
      <c r="F855">
        <v>254.56037144815625</v>
      </c>
      <c r="G855">
        <v>847</v>
      </c>
      <c r="H855">
        <v>922.55869529923336</v>
      </c>
      <c r="I855">
        <v>847</v>
      </c>
      <c r="J855">
        <v>358.26836541012528</v>
      </c>
    </row>
    <row r="856" spans="1:10" x14ac:dyDescent="0.35">
      <c r="A856">
        <v>848</v>
      </c>
      <c r="B856">
        <v>607.12412984589412</v>
      </c>
      <c r="C856">
        <v>848</v>
      </c>
      <c r="D856">
        <v>955.83753334920812</v>
      </c>
      <c r="E856">
        <v>848</v>
      </c>
      <c r="F856">
        <v>165.17031311520492</v>
      </c>
      <c r="G856">
        <v>848</v>
      </c>
      <c r="H856">
        <v>860.87695352322771</v>
      </c>
      <c r="I856">
        <v>848</v>
      </c>
      <c r="J856">
        <v>252.79288148201346</v>
      </c>
    </row>
    <row r="857" spans="1:10" x14ac:dyDescent="0.35">
      <c r="A857">
        <v>849</v>
      </c>
      <c r="B857">
        <v>185.81212920699068</v>
      </c>
      <c r="C857">
        <v>849</v>
      </c>
      <c r="D857">
        <v>244.28864435963197</v>
      </c>
      <c r="E857">
        <v>849</v>
      </c>
      <c r="F857">
        <v>-43.862940495155968</v>
      </c>
      <c r="G857">
        <v>849</v>
      </c>
      <c r="H857">
        <v>369.11276058466336</v>
      </c>
      <c r="I857">
        <v>849</v>
      </c>
      <c r="J857">
        <v>-468.0647413456046</v>
      </c>
    </row>
    <row r="858" spans="1:10" x14ac:dyDescent="0.35">
      <c r="A858">
        <v>850</v>
      </c>
      <c r="B858">
        <v>717.25647402220682</v>
      </c>
      <c r="C858">
        <v>850</v>
      </c>
      <c r="D858">
        <v>899.94950316064774</v>
      </c>
      <c r="E858">
        <v>850</v>
      </c>
      <c r="F858">
        <v>33.055983897645319</v>
      </c>
      <c r="G858">
        <v>850</v>
      </c>
      <c r="H858">
        <v>1197.500775041766</v>
      </c>
      <c r="I858">
        <v>850</v>
      </c>
      <c r="J858">
        <v>-281.88472237839932</v>
      </c>
    </row>
    <row r="859" spans="1:10" x14ac:dyDescent="0.35">
      <c r="A859">
        <v>851</v>
      </c>
      <c r="B859">
        <v>131.19160685882491</v>
      </c>
      <c r="C859">
        <v>851</v>
      </c>
      <c r="D859">
        <v>589.60665472925484</v>
      </c>
      <c r="E859">
        <v>851</v>
      </c>
      <c r="F859">
        <v>338.89390265545524</v>
      </c>
      <c r="G859">
        <v>851</v>
      </c>
      <c r="H859">
        <v>1022.2114298193621</v>
      </c>
      <c r="I859">
        <v>851</v>
      </c>
      <c r="J859">
        <v>156.72572030217697</v>
      </c>
    </row>
    <row r="860" spans="1:10" x14ac:dyDescent="0.35">
      <c r="A860">
        <v>852</v>
      </c>
      <c r="B860">
        <v>869.14558436803122</v>
      </c>
      <c r="C860">
        <v>852</v>
      </c>
      <c r="D860">
        <v>624.9441802014735</v>
      </c>
      <c r="E860">
        <v>852</v>
      </c>
      <c r="F860">
        <v>292.90641251591535</v>
      </c>
      <c r="G860">
        <v>852</v>
      </c>
      <c r="H860">
        <v>632.56381940851213</v>
      </c>
      <c r="I860">
        <v>852</v>
      </c>
      <c r="J860">
        <v>-583.49805990712002</v>
      </c>
    </row>
    <row r="861" spans="1:10" x14ac:dyDescent="0.35">
      <c r="A861">
        <v>853</v>
      </c>
      <c r="B861">
        <v>966.30093145240767</v>
      </c>
      <c r="C861">
        <v>853</v>
      </c>
      <c r="D861">
        <v>572.97982960232696</v>
      </c>
      <c r="E861">
        <v>853</v>
      </c>
      <c r="F861">
        <v>190.80020891638009</v>
      </c>
      <c r="G861">
        <v>853</v>
      </c>
      <c r="H861">
        <v>685.88823881135954</v>
      </c>
      <c r="I861">
        <v>853</v>
      </c>
      <c r="J861">
        <v>207.97503691656487</v>
      </c>
    </row>
    <row r="862" spans="1:10" x14ac:dyDescent="0.35">
      <c r="A862">
        <v>854</v>
      </c>
      <c r="B862">
        <v>579.32173635614129</v>
      </c>
      <c r="C862">
        <v>854</v>
      </c>
      <c r="D862">
        <v>989.98685032365188</v>
      </c>
      <c r="E862">
        <v>854</v>
      </c>
      <c r="F862">
        <v>256.52853394140607</v>
      </c>
      <c r="G862">
        <v>854</v>
      </c>
      <c r="H862">
        <v>-246.63198478624605</v>
      </c>
      <c r="I862">
        <v>854</v>
      </c>
      <c r="J862">
        <v>-113.04919102980706</v>
      </c>
    </row>
    <row r="863" spans="1:10" x14ac:dyDescent="0.35">
      <c r="A863">
        <v>855</v>
      </c>
      <c r="B863">
        <v>488.39257986686289</v>
      </c>
      <c r="C863">
        <v>855</v>
      </c>
      <c r="D863">
        <v>463.20819535841792</v>
      </c>
      <c r="E863">
        <v>855</v>
      </c>
      <c r="F863">
        <v>118.56440939622607</v>
      </c>
      <c r="G863">
        <v>855</v>
      </c>
      <c r="H863">
        <v>1155.2904453762389</v>
      </c>
      <c r="I863">
        <v>855</v>
      </c>
      <c r="J863">
        <v>-427.12696542508854</v>
      </c>
    </row>
    <row r="864" spans="1:10" x14ac:dyDescent="0.35">
      <c r="A864">
        <v>856</v>
      </c>
      <c r="B864">
        <v>898.05063378168597</v>
      </c>
      <c r="C864">
        <v>856</v>
      </c>
      <c r="D864">
        <v>572.73618935269587</v>
      </c>
      <c r="E864">
        <v>856</v>
      </c>
      <c r="F864">
        <v>-339.70322995387625</v>
      </c>
      <c r="G864">
        <v>856</v>
      </c>
      <c r="H864">
        <v>359.91227168117121</v>
      </c>
      <c r="I864">
        <v>856</v>
      </c>
      <c r="J864">
        <v>-454.96684019560303</v>
      </c>
    </row>
    <row r="865" spans="1:10" x14ac:dyDescent="0.35">
      <c r="A865">
        <v>857</v>
      </c>
      <c r="B865">
        <v>513.8616980706887</v>
      </c>
      <c r="C865">
        <v>857</v>
      </c>
      <c r="D865">
        <v>905.72525618599047</v>
      </c>
      <c r="E865">
        <v>857</v>
      </c>
      <c r="F865">
        <v>173.63677872535317</v>
      </c>
      <c r="G865">
        <v>857</v>
      </c>
      <c r="H865">
        <v>415.34916147518277</v>
      </c>
      <c r="I865">
        <v>857</v>
      </c>
      <c r="J865">
        <v>219.73497320895348</v>
      </c>
    </row>
    <row r="866" spans="1:10" x14ac:dyDescent="0.35">
      <c r="A866">
        <v>858</v>
      </c>
      <c r="B866">
        <v>779.00433273539284</v>
      </c>
      <c r="C866">
        <v>858</v>
      </c>
      <c r="D866">
        <v>595.36765273741935</v>
      </c>
      <c r="E866">
        <v>858</v>
      </c>
      <c r="F866">
        <v>-33.492753174309499</v>
      </c>
      <c r="G866">
        <v>858</v>
      </c>
      <c r="H866">
        <v>662.76438820039414</v>
      </c>
      <c r="I866">
        <v>858</v>
      </c>
      <c r="J866">
        <v>223.23683342283749</v>
      </c>
    </row>
    <row r="867" spans="1:10" x14ac:dyDescent="0.35">
      <c r="A867">
        <v>859</v>
      </c>
      <c r="B867">
        <v>297.79190137182991</v>
      </c>
      <c r="C867">
        <v>859</v>
      </c>
      <c r="D867">
        <v>471.65943029697985</v>
      </c>
      <c r="E867">
        <v>859</v>
      </c>
      <c r="F867">
        <v>28.311068344796482</v>
      </c>
      <c r="G867">
        <v>859</v>
      </c>
      <c r="H867">
        <v>529.85902762447768</v>
      </c>
      <c r="I867">
        <v>859</v>
      </c>
      <c r="J867">
        <v>-83.221042435541762</v>
      </c>
    </row>
    <row r="868" spans="1:10" x14ac:dyDescent="0.35">
      <c r="A868">
        <v>860</v>
      </c>
      <c r="B868">
        <v>862.35714383909863</v>
      </c>
      <c r="C868">
        <v>860</v>
      </c>
      <c r="D868">
        <v>604.78115461648338</v>
      </c>
      <c r="E868">
        <v>860</v>
      </c>
      <c r="F868">
        <v>204.97167577324927</v>
      </c>
      <c r="G868">
        <v>860</v>
      </c>
      <c r="H868">
        <v>424.84526011006466</v>
      </c>
      <c r="I868">
        <v>860</v>
      </c>
      <c r="J868">
        <v>-113.66615218522513</v>
      </c>
    </row>
    <row r="869" spans="1:10" x14ac:dyDescent="0.35">
      <c r="A869">
        <v>861</v>
      </c>
      <c r="B869">
        <v>531.96547282796007</v>
      </c>
      <c r="C869">
        <v>861</v>
      </c>
      <c r="D869">
        <v>730.26732888546462</v>
      </c>
      <c r="E869">
        <v>861</v>
      </c>
      <c r="F869">
        <v>-165.13228692177992</v>
      </c>
      <c r="G869">
        <v>861</v>
      </c>
      <c r="H869">
        <v>557.51299700207574</v>
      </c>
      <c r="I869">
        <v>861</v>
      </c>
      <c r="J869">
        <v>-548.00575589188293</v>
      </c>
    </row>
    <row r="870" spans="1:10" x14ac:dyDescent="0.35">
      <c r="A870">
        <v>862</v>
      </c>
      <c r="B870">
        <v>723.13149361733872</v>
      </c>
      <c r="C870">
        <v>862</v>
      </c>
      <c r="D870">
        <v>702.21196751104935</v>
      </c>
      <c r="E870">
        <v>862</v>
      </c>
      <c r="F870">
        <v>-60.58163206086391</v>
      </c>
      <c r="G870">
        <v>862</v>
      </c>
      <c r="H870">
        <v>545.60071751172904</v>
      </c>
      <c r="I870">
        <v>862</v>
      </c>
      <c r="J870">
        <v>128.94252222460813</v>
      </c>
    </row>
    <row r="871" spans="1:10" x14ac:dyDescent="0.35">
      <c r="A871">
        <v>863</v>
      </c>
      <c r="B871">
        <v>886.81868465683021</v>
      </c>
      <c r="C871">
        <v>863</v>
      </c>
      <c r="D871">
        <v>687.68345579688855</v>
      </c>
      <c r="E871">
        <v>863</v>
      </c>
      <c r="F871">
        <v>108.85842175290239</v>
      </c>
      <c r="G871">
        <v>863</v>
      </c>
      <c r="H871">
        <v>-168.13640617063817</v>
      </c>
      <c r="I871">
        <v>863</v>
      </c>
      <c r="J871">
        <v>-11.168473952973187</v>
      </c>
    </row>
    <row r="872" spans="1:10" x14ac:dyDescent="0.35">
      <c r="A872">
        <v>864</v>
      </c>
      <c r="B872">
        <v>208.47935778464688</v>
      </c>
      <c r="C872">
        <v>864</v>
      </c>
      <c r="D872">
        <v>1020.8130297853193</v>
      </c>
      <c r="E872">
        <v>864</v>
      </c>
      <c r="F872">
        <v>17.849692968055699</v>
      </c>
      <c r="G872">
        <v>864</v>
      </c>
      <c r="H872">
        <v>110.56134411625305</v>
      </c>
      <c r="I872">
        <v>864</v>
      </c>
      <c r="J872">
        <v>339.11898771012693</v>
      </c>
    </row>
    <row r="873" spans="1:10" x14ac:dyDescent="0.35">
      <c r="A873">
        <v>865</v>
      </c>
      <c r="B873">
        <v>525.08435051478045</v>
      </c>
      <c r="C873">
        <v>865</v>
      </c>
      <c r="D873">
        <v>635.15910850484067</v>
      </c>
      <c r="E873">
        <v>865</v>
      </c>
      <c r="F873">
        <v>-237.48347447703947</v>
      </c>
      <c r="G873">
        <v>865</v>
      </c>
      <c r="H873">
        <v>266.11256406644918</v>
      </c>
      <c r="I873">
        <v>865</v>
      </c>
      <c r="J873">
        <v>-210.7551006119057</v>
      </c>
    </row>
    <row r="874" spans="1:10" x14ac:dyDescent="0.35">
      <c r="A874">
        <v>866</v>
      </c>
      <c r="B874">
        <v>664.6653973208787</v>
      </c>
      <c r="C874">
        <v>866</v>
      </c>
      <c r="D874">
        <v>201.28744705590674</v>
      </c>
      <c r="E874">
        <v>866</v>
      </c>
      <c r="F874">
        <v>50.590980925291262</v>
      </c>
      <c r="G874">
        <v>866</v>
      </c>
      <c r="H874">
        <v>352.48415914160694</v>
      </c>
      <c r="I874">
        <v>866</v>
      </c>
      <c r="J874">
        <v>-113.21461384374206</v>
      </c>
    </row>
    <row r="875" spans="1:10" x14ac:dyDescent="0.35">
      <c r="A875">
        <v>867</v>
      </c>
      <c r="B875">
        <v>402.15716961695813</v>
      </c>
      <c r="C875">
        <v>867</v>
      </c>
      <c r="D875">
        <v>717.16095170262156</v>
      </c>
      <c r="E875">
        <v>867</v>
      </c>
      <c r="F875">
        <v>-325.35494710042769</v>
      </c>
      <c r="G875">
        <v>867</v>
      </c>
      <c r="H875">
        <v>1074.7384648391674</v>
      </c>
      <c r="I875">
        <v>867</v>
      </c>
      <c r="J875">
        <v>197.29800923469759</v>
      </c>
    </row>
    <row r="876" spans="1:10" x14ac:dyDescent="0.35">
      <c r="A876">
        <v>868</v>
      </c>
      <c r="B876">
        <v>913.04993672993214</v>
      </c>
      <c r="C876">
        <v>868</v>
      </c>
      <c r="D876">
        <v>668.12244658839677</v>
      </c>
      <c r="E876">
        <v>868</v>
      </c>
      <c r="F876">
        <v>130.65412328945575</v>
      </c>
      <c r="G876">
        <v>868</v>
      </c>
      <c r="H876">
        <v>396.43290324924988</v>
      </c>
      <c r="I876">
        <v>868</v>
      </c>
      <c r="J876">
        <v>-78.757156956271388</v>
      </c>
    </row>
    <row r="877" spans="1:10" x14ac:dyDescent="0.35">
      <c r="A877">
        <v>869</v>
      </c>
      <c r="B877">
        <v>654.01403262753172</v>
      </c>
      <c r="C877">
        <v>869</v>
      </c>
      <c r="D877">
        <v>510.77548946384962</v>
      </c>
      <c r="E877">
        <v>869</v>
      </c>
      <c r="F877">
        <v>-53.334174671108173</v>
      </c>
      <c r="G877">
        <v>869</v>
      </c>
      <c r="H877">
        <v>308.94989024763447</v>
      </c>
      <c r="I877">
        <v>869</v>
      </c>
      <c r="J877">
        <v>-286.25497422125005</v>
      </c>
    </row>
    <row r="878" spans="1:10" x14ac:dyDescent="0.35">
      <c r="A878">
        <v>870</v>
      </c>
      <c r="B878">
        <v>818.32805467894605</v>
      </c>
      <c r="C878">
        <v>870</v>
      </c>
      <c r="D878">
        <v>773.12464676457125</v>
      </c>
      <c r="E878">
        <v>870</v>
      </c>
      <c r="F878">
        <v>-276.57715176886012</v>
      </c>
      <c r="G878">
        <v>870</v>
      </c>
      <c r="H878">
        <v>515.16623386436049</v>
      </c>
      <c r="I878">
        <v>870</v>
      </c>
      <c r="J878">
        <v>193.35150732861752</v>
      </c>
    </row>
    <row r="879" spans="1:10" x14ac:dyDescent="0.35">
      <c r="A879">
        <v>871</v>
      </c>
      <c r="B879">
        <v>489.51104081824718</v>
      </c>
      <c r="C879">
        <v>871</v>
      </c>
      <c r="D879">
        <v>370.52692649730568</v>
      </c>
      <c r="E879">
        <v>871</v>
      </c>
      <c r="F879">
        <v>-77.726291226630281</v>
      </c>
      <c r="G879">
        <v>871</v>
      </c>
      <c r="H879">
        <v>866.79556753308088</v>
      </c>
      <c r="I879">
        <v>871</v>
      </c>
      <c r="J879">
        <v>-215.03958424498353</v>
      </c>
    </row>
    <row r="880" spans="1:10" x14ac:dyDescent="0.35">
      <c r="A880">
        <v>872</v>
      </c>
      <c r="B880">
        <v>810.86938206743048</v>
      </c>
      <c r="C880">
        <v>872</v>
      </c>
      <c r="D880">
        <v>715.83761876832716</v>
      </c>
      <c r="E880">
        <v>872</v>
      </c>
      <c r="F880">
        <v>203.54932109624997</v>
      </c>
      <c r="G880">
        <v>872</v>
      </c>
      <c r="H880">
        <v>982.44847452523572</v>
      </c>
      <c r="I880">
        <v>872</v>
      </c>
      <c r="J880">
        <v>-71.650157029400134</v>
      </c>
    </row>
    <row r="881" spans="1:10" x14ac:dyDescent="0.35">
      <c r="A881">
        <v>873</v>
      </c>
      <c r="B881">
        <v>522.07194965710073</v>
      </c>
      <c r="C881">
        <v>873</v>
      </c>
      <c r="D881">
        <v>850.65119066381283</v>
      </c>
      <c r="E881">
        <v>873</v>
      </c>
      <c r="F881">
        <v>191.45347648035784</v>
      </c>
      <c r="G881">
        <v>873</v>
      </c>
      <c r="H881">
        <v>351.34439688442166</v>
      </c>
      <c r="I881">
        <v>873</v>
      </c>
      <c r="J881">
        <v>-200.44620705700342</v>
      </c>
    </row>
    <row r="882" spans="1:10" x14ac:dyDescent="0.35">
      <c r="A882">
        <v>874</v>
      </c>
      <c r="B882">
        <v>763.64777780517306</v>
      </c>
      <c r="C882">
        <v>874</v>
      </c>
      <c r="D882">
        <v>646.62914700449767</v>
      </c>
      <c r="E882">
        <v>874</v>
      </c>
      <c r="F882">
        <v>100.24988079783196</v>
      </c>
      <c r="G882">
        <v>874</v>
      </c>
      <c r="H882">
        <v>-333.12729615956488</v>
      </c>
      <c r="I882">
        <v>874</v>
      </c>
      <c r="J882">
        <v>-722.92875863063477</v>
      </c>
    </row>
    <row r="883" spans="1:10" x14ac:dyDescent="0.35">
      <c r="A883">
        <v>875</v>
      </c>
      <c r="B883">
        <v>994.322253240858</v>
      </c>
      <c r="C883">
        <v>875</v>
      </c>
      <c r="D883">
        <v>1082.2188199407476</v>
      </c>
      <c r="E883">
        <v>875</v>
      </c>
      <c r="F883">
        <v>-171.88497431061086</v>
      </c>
      <c r="G883">
        <v>875</v>
      </c>
      <c r="H883">
        <v>215.19701981305772</v>
      </c>
      <c r="I883">
        <v>875</v>
      </c>
      <c r="J883">
        <v>-722.1513259771416</v>
      </c>
    </row>
    <row r="884" spans="1:10" x14ac:dyDescent="0.35">
      <c r="A884">
        <v>876</v>
      </c>
      <c r="B884">
        <v>343.85303675473591</v>
      </c>
      <c r="C884">
        <v>876</v>
      </c>
      <c r="D884">
        <v>679.08456814418389</v>
      </c>
      <c r="E884">
        <v>876</v>
      </c>
      <c r="F884">
        <v>-49.440571314202614</v>
      </c>
      <c r="G884">
        <v>876</v>
      </c>
      <c r="H884">
        <v>721.53066685288763</v>
      </c>
      <c r="I884">
        <v>876</v>
      </c>
      <c r="J884">
        <v>421.25390526430306</v>
      </c>
    </row>
    <row r="885" spans="1:10" x14ac:dyDescent="0.35">
      <c r="A885">
        <v>877</v>
      </c>
      <c r="B885">
        <v>374.00431118521851</v>
      </c>
      <c r="C885">
        <v>877</v>
      </c>
      <c r="D885">
        <v>529.73961317556643</v>
      </c>
      <c r="E885">
        <v>877</v>
      </c>
      <c r="F885">
        <v>144.28904109059022</v>
      </c>
      <c r="G885">
        <v>877</v>
      </c>
      <c r="H885">
        <v>293.11559864529067</v>
      </c>
      <c r="I885">
        <v>877</v>
      </c>
      <c r="J885">
        <v>-323.97166703942048</v>
      </c>
    </row>
    <row r="886" spans="1:10" x14ac:dyDescent="0.35">
      <c r="A886">
        <v>878</v>
      </c>
      <c r="B886">
        <v>636.27203538052117</v>
      </c>
      <c r="C886">
        <v>878</v>
      </c>
      <c r="D886">
        <v>955.5066596685499</v>
      </c>
      <c r="E886">
        <v>878</v>
      </c>
      <c r="F886">
        <v>173.20665988567231</v>
      </c>
      <c r="G886">
        <v>878</v>
      </c>
      <c r="H886">
        <v>260.3423039164166</v>
      </c>
      <c r="I886">
        <v>878</v>
      </c>
      <c r="J886">
        <v>-138.88088299179446</v>
      </c>
    </row>
    <row r="887" spans="1:10" x14ac:dyDescent="0.35">
      <c r="A887">
        <v>879</v>
      </c>
      <c r="B887">
        <v>769.24005326153417</v>
      </c>
      <c r="C887">
        <v>879</v>
      </c>
      <c r="D887">
        <v>820.41431471168937</v>
      </c>
      <c r="E887">
        <v>879</v>
      </c>
      <c r="F887">
        <v>246.53146814045741</v>
      </c>
      <c r="G887">
        <v>879</v>
      </c>
      <c r="H887">
        <v>156.99436504564636</v>
      </c>
      <c r="I887">
        <v>879</v>
      </c>
      <c r="J887">
        <v>-306.72505714423426</v>
      </c>
    </row>
    <row r="888" spans="1:10" x14ac:dyDescent="0.35">
      <c r="A888">
        <v>880</v>
      </c>
      <c r="B888">
        <v>793.70995243865764</v>
      </c>
      <c r="C888">
        <v>880</v>
      </c>
      <c r="D888">
        <v>540.50069263502633</v>
      </c>
      <c r="E888">
        <v>880</v>
      </c>
      <c r="F888">
        <v>171.65108891587332</v>
      </c>
      <c r="G888">
        <v>880</v>
      </c>
      <c r="H888">
        <v>223.9852553722308</v>
      </c>
      <c r="I888">
        <v>880</v>
      </c>
      <c r="J888">
        <v>-824.6810772968779</v>
      </c>
    </row>
    <row r="889" spans="1:10" x14ac:dyDescent="0.35">
      <c r="A889">
        <v>881</v>
      </c>
      <c r="B889">
        <v>673.26105732005908</v>
      </c>
      <c r="C889">
        <v>881</v>
      </c>
      <c r="D889">
        <v>544.27300600628212</v>
      </c>
      <c r="E889">
        <v>881</v>
      </c>
      <c r="F889">
        <v>283.9122247273948</v>
      </c>
      <c r="G889">
        <v>881</v>
      </c>
      <c r="H889">
        <v>272.88014294173456</v>
      </c>
      <c r="I889">
        <v>881</v>
      </c>
      <c r="J889">
        <v>64.722794405988111</v>
      </c>
    </row>
    <row r="890" spans="1:10" x14ac:dyDescent="0.35">
      <c r="A890">
        <v>882</v>
      </c>
      <c r="B890">
        <v>214.50194407960765</v>
      </c>
      <c r="C890">
        <v>882</v>
      </c>
      <c r="D890">
        <v>826.79287529698945</v>
      </c>
      <c r="E890">
        <v>882</v>
      </c>
      <c r="F890">
        <v>-378.13038870842604</v>
      </c>
      <c r="G890">
        <v>882</v>
      </c>
      <c r="H890">
        <v>-171.64392376679012</v>
      </c>
      <c r="I890">
        <v>882</v>
      </c>
      <c r="J890">
        <v>-93.303229566424847</v>
      </c>
    </row>
    <row r="891" spans="1:10" x14ac:dyDescent="0.35">
      <c r="A891">
        <v>883</v>
      </c>
      <c r="B891">
        <v>583.73248895062181</v>
      </c>
      <c r="C891">
        <v>883</v>
      </c>
      <c r="D891">
        <v>436.60635536520527</v>
      </c>
      <c r="E891">
        <v>883</v>
      </c>
      <c r="F891">
        <v>-42.726952268074157</v>
      </c>
      <c r="G891">
        <v>883</v>
      </c>
      <c r="H891">
        <v>26.46909913736414</v>
      </c>
      <c r="I891">
        <v>883</v>
      </c>
      <c r="J891">
        <v>-402.99356069792702</v>
      </c>
    </row>
    <row r="892" spans="1:10" x14ac:dyDescent="0.35">
      <c r="A892">
        <v>884</v>
      </c>
      <c r="B892">
        <v>881.70578730927946</v>
      </c>
      <c r="C892">
        <v>884</v>
      </c>
      <c r="D892">
        <v>728.95611843756637</v>
      </c>
      <c r="E892">
        <v>884</v>
      </c>
      <c r="F892">
        <v>426.18224807220616</v>
      </c>
      <c r="G892">
        <v>884</v>
      </c>
      <c r="H892">
        <v>836.98645496722338</v>
      </c>
      <c r="I892">
        <v>884</v>
      </c>
      <c r="J892">
        <v>-231.52892281723291</v>
      </c>
    </row>
    <row r="893" spans="1:10" x14ac:dyDescent="0.35">
      <c r="A893">
        <v>885</v>
      </c>
      <c r="B893">
        <v>724.69449127389498</v>
      </c>
      <c r="C893">
        <v>885</v>
      </c>
      <c r="D893">
        <v>516.50484822639874</v>
      </c>
      <c r="E893">
        <v>885</v>
      </c>
      <c r="F893">
        <v>218.45717181175229</v>
      </c>
      <c r="G893">
        <v>885</v>
      </c>
      <c r="H893">
        <v>695.71500184401452</v>
      </c>
      <c r="I893">
        <v>885</v>
      </c>
      <c r="J893">
        <v>-107.76368390310944</v>
      </c>
    </row>
    <row r="894" spans="1:10" x14ac:dyDescent="0.35">
      <c r="A894">
        <v>886</v>
      </c>
      <c r="B894">
        <v>914.26064819145404</v>
      </c>
      <c r="C894">
        <v>886</v>
      </c>
      <c r="D894">
        <v>535.61583399197639</v>
      </c>
      <c r="E894">
        <v>886</v>
      </c>
      <c r="F894">
        <v>-199.01220912910486</v>
      </c>
      <c r="G894">
        <v>886</v>
      </c>
      <c r="H894">
        <v>-465.58614427711592</v>
      </c>
      <c r="I894">
        <v>886</v>
      </c>
      <c r="J894">
        <v>-447.13317736956367</v>
      </c>
    </row>
    <row r="895" spans="1:10" x14ac:dyDescent="0.35">
      <c r="A895">
        <v>887</v>
      </c>
      <c r="B895">
        <v>564.26038609730915</v>
      </c>
      <c r="C895">
        <v>887</v>
      </c>
      <c r="D895">
        <v>1004.8664372643584</v>
      </c>
      <c r="E895">
        <v>887</v>
      </c>
      <c r="F895">
        <v>233.05460133020219</v>
      </c>
      <c r="G895">
        <v>887</v>
      </c>
      <c r="H895">
        <v>269.10960407636458</v>
      </c>
      <c r="I895">
        <v>887</v>
      </c>
      <c r="J895">
        <v>320.9758402940713</v>
      </c>
    </row>
    <row r="896" spans="1:10" x14ac:dyDescent="0.35">
      <c r="A896">
        <v>888</v>
      </c>
      <c r="B896">
        <v>595.51535108376856</v>
      </c>
      <c r="C896">
        <v>888</v>
      </c>
      <c r="D896">
        <v>146.91826519031082</v>
      </c>
      <c r="E896">
        <v>888</v>
      </c>
      <c r="F896">
        <v>333.14807411075537</v>
      </c>
      <c r="G896">
        <v>888</v>
      </c>
      <c r="H896">
        <v>1415.8704181194837</v>
      </c>
      <c r="I896">
        <v>888</v>
      </c>
      <c r="J896">
        <v>54.337712705728734</v>
      </c>
    </row>
    <row r="897" spans="1:10" x14ac:dyDescent="0.35">
      <c r="A897">
        <v>889</v>
      </c>
      <c r="B897">
        <v>877.01894900154434</v>
      </c>
      <c r="C897">
        <v>889</v>
      </c>
      <c r="D897">
        <v>754.25026844031208</v>
      </c>
      <c r="E897">
        <v>889</v>
      </c>
      <c r="F897">
        <v>-86.652716115302724</v>
      </c>
      <c r="G897">
        <v>889</v>
      </c>
      <c r="H897">
        <v>708.24680277950529</v>
      </c>
      <c r="I897">
        <v>889</v>
      </c>
      <c r="J897">
        <v>-825.45170330709311</v>
      </c>
    </row>
    <row r="898" spans="1:10" x14ac:dyDescent="0.35">
      <c r="A898">
        <v>890</v>
      </c>
      <c r="B898">
        <v>798.25984767731791</v>
      </c>
      <c r="C898">
        <v>890</v>
      </c>
      <c r="D898">
        <v>575.52959450056971</v>
      </c>
      <c r="E898">
        <v>890</v>
      </c>
      <c r="F898">
        <v>-173.32670213656104</v>
      </c>
      <c r="G898">
        <v>890</v>
      </c>
      <c r="H898">
        <v>337.61274694371093</v>
      </c>
      <c r="I898">
        <v>890</v>
      </c>
      <c r="J898">
        <v>-77.704211507952152</v>
      </c>
    </row>
    <row r="899" spans="1:10" x14ac:dyDescent="0.35">
      <c r="A899">
        <v>891</v>
      </c>
      <c r="B899">
        <v>480.05580124132774</v>
      </c>
      <c r="C899">
        <v>891</v>
      </c>
      <c r="D899">
        <v>524.31114736937843</v>
      </c>
      <c r="E899">
        <v>891</v>
      </c>
      <c r="F899">
        <v>325.21796494925309</v>
      </c>
      <c r="G899">
        <v>891</v>
      </c>
      <c r="H899">
        <v>561.89911660875987</v>
      </c>
      <c r="I899">
        <v>891</v>
      </c>
      <c r="J899">
        <v>267.56532230283506</v>
      </c>
    </row>
    <row r="900" spans="1:10" x14ac:dyDescent="0.35">
      <c r="A900">
        <v>892</v>
      </c>
      <c r="B900">
        <v>783.14118194088041</v>
      </c>
      <c r="C900">
        <v>892</v>
      </c>
      <c r="D900">
        <v>916.30822865138589</v>
      </c>
      <c r="E900">
        <v>892</v>
      </c>
      <c r="F900">
        <v>157.74075748755268</v>
      </c>
      <c r="G900">
        <v>892</v>
      </c>
      <c r="H900">
        <v>290.76146064146963</v>
      </c>
      <c r="I900">
        <v>892</v>
      </c>
      <c r="J900">
        <v>-160.48839844734755</v>
      </c>
    </row>
    <row r="901" spans="1:10" x14ac:dyDescent="0.35">
      <c r="A901">
        <v>893</v>
      </c>
      <c r="B901">
        <v>702.68692255845292</v>
      </c>
      <c r="C901">
        <v>893</v>
      </c>
      <c r="D901">
        <v>573.88708659368876</v>
      </c>
      <c r="E901">
        <v>893</v>
      </c>
      <c r="F901">
        <v>-332.52072723314848</v>
      </c>
      <c r="G901">
        <v>893</v>
      </c>
      <c r="H901">
        <v>-36.04810381267572</v>
      </c>
      <c r="I901">
        <v>893</v>
      </c>
      <c r="J901">
        <v>-366.23876397487453</v>
      </c>
    </row>
    <row r="902" spans="1:10" x14ac:dyDescent="0.35">
      <c r="A902">
        <v>894</v>
      </c>
      <c r="B902">
        <v>593.12063217901346</v>
      </c>
      <c r="C902">
        <v>894</v>
      </c>
      <c r="D902">
        <v>754.32503373237614</v>
      </c>
      <c r="E902">
        <v>894</v>
      </c>
      <c r="F902">
        <v>-44.945637290817345</v>
      </c>
      <c r="G902">
        <v>894</v>
      </c>
      <c r="H902">
        <v>623.71240706590959</v>
      </c>
      <c r="I902">
        <v>894</v>
      </c>
      <c r="J902">
        <v>-206.34383577238157</v>
      </c>
    </row>
    <row r="903" spans="1:10" x14ac:dyDescent="0.35">
      <c r="A903">
        <v>895</v>
      </c>
      <c r="B903">
        <v>908.00681024396351</v>
      </c>
      <c r="C903">
        <v>895</v>
      </c>
      <c r="D903">
        <v>809.04677572637922</v>
      </c>
      <c r="E903">
        <v>895</v>
      </c>
      <c r="F903">
        <v>-95.2612561648412</v>
      </c>
      <c r="G903">
        <v>895</v>
      </c>
      <c r="H903">
        <v>368.91473539925806</v>
      </c>
      <c r="I903">
        <v>895</v>
      </c>
      <c r="J903">
        <v>-494.23106193559516</v>
      </c>
    </row>
    <row r="904" spans="1:10" x14ac:dyDescent="0.35">
      <c r="A904">
        <v>896</v>
      </c>
      <c r="B904">
        <v>1040.9903593038398</v>
      </c>
      <c r="C904">
        <v>896</v>
      </c>
      <c r="D904">
        <v>737.98932907348569</v>
      </c>
      <c r="E904">
        <v>896</v>
      </c>
      <c r="F904">
        <v>63.685792684325847</v>
      </c>
      <c r="G904">
        <v>896</v>
      </c>
      <c r="H904">
        <v>695.3195931624939</v>
      </c>
      <c r="I904">
        <v>896</v>
      </c>
      <c r="J904">
        <v>-348.80358527088151</v>
      </c>
    </row>
    <row r="905" spans="1:10" x14ac:dyDescent="0.35">
      <c r="A905">
        <v>897</v>
      </c>
      <c r="B905">
        <v>908.97884118122897</v>
      </c>
      <c r="C905">
        <v>897</v>
      </c>
      <c r="D905">
        <v>830.8912681613474</v>
      </c>
      <c r="E905">
        <v>897</v>
      </c>
      <c r="F905">
        <v>200.55837435192694</v>
      </c>
      <c r="G905">
        <v>897</v>
      </c>
      <c r="H905">
        <v>648.96578553697066</v>
      </c>
      <c r="I905">
        <v>897</v>
      </c>
      <c r="J905">
        <v>164.72417318421509</v>
      </c>
    </row>
    <row r="906" spans="1:10" x14ac:dyDescent="0.35">
      <c r="A906">
        <v>898</v>
      </c>
      <c r="B906">
        <v>645.25881835173846</v>
      </c>
      <c r="C906">
        <v>898</v>
      </c>
      <c r="D906">
        <v>657.55669501224702</v>
      </c>
      <c r="E906">
        <v>898</v>
      </c>
      <c r="F906">
        <v>332.52699405603272</v>
      </c>
      <c r="G906">
        <v>898</v>
      </c>
      <c r="H906">
        <v>748.51680426344137</v>
      </c>
      <c r="I906">
        <v>898</v>
      </c>
      <c r="J906">
        <v>9.3520618916402611</v>
      </c>
    </row>
    <row r="907" spans="1:10" x14ac:dyDescent="0.35">
      <c r="A907">
        <v>899</v>
      </c>
      <c r="B907">
        <v>841.37692914284014</v>
      </c>
      <c r="C907">
        <v>899</v>
      </c>
      <c r="D907">
        <v>757.8472395990276</v>
      </c>
      <c r="E907">
        <v>899</v>
      </c>
      <c r="F907">
        <v>-63.709913302369671</v>
      </c>
      <c r="G907">
        <v>899</v>
      </c>
      <c r="H907">
        <v>-41.054489525360623</v>
      </c>
      <c r="I907">
        <v>899</v>
      </c>
      <c r="J907">
        <v>108.79217290797567</v>
      </c>
    </row>
    <row r="908" spans="1:10" x14ac:dyDescent="0.35">
      <c r="A908">
        <v>900</v>
      </c>
      <c r="B908">
        <v>629.4929901847421</v>
      </c>
      <c r="C908">
        <v>900</v>
      </c>
      <c r="D908">
        <v>656.30297343157679</v>
      </c>
      <c r="E908">
        <v>900</v>
      </c>
      <c r="F908">
        <v>364.21596158575829</v>
      </c>
      <c r="G908">
        <v>900</v>
      </c>
      <c r="H908">
        <v>1277.0703124934057</v>
      </c>
      <c r="I908">
        <v>900</v>
      </c>
      <c r="J908">
        <v>-169.81454772033575</v>
      </c>
    </row>
    <row r="909" spans="1:10" x14ac:dyDescent="0.35">
      <c r="A909">
        <v>901</v>
      </c>
      <c r="B909">
        <v>819.05130201036093</v>
      </c>
      <c r="C909">
        <v>901</v>
      </c>
      <c r="D909">
        <v>850.85556641824769</v>
      </c>
      <c r="E909">
        <v>901</v>
      </c>
      <c r="F909">
        <v>405.33996626162531</v>
      </c>
      <c r="G909">
        <v>901</v>
      </c>
      <c r="H909">
        <v>553.34286943712675</v>
      </c>
      <c r="I909">
        <v>901</v>
      </c>
      <c r="J909">
        <v>-373.18120766786592</v>
      </c>
    </row>
    <row r="910" spans="1:10" x14ac:dyDescent="0.35">
      <c r="A910">
        <v>902</v>
      </c>
      <c r="B910">
        <v>381.87703940538893</v>
      </c>
      <c r="C910">
        <v>902</v>
      </c>
      <c r="D910">
        <v>476.4454116953741</v>
      </c>
      <c r="E910">
        <v>902</v>
      </c>
      <c r="F910">
        <v>257.8295746055872</v>
      </c>
      <c r="G910">
        <v>902</v>
      </c>
      <c r="H910">
        <v>186.28792370072989</v>
      </c>
      <c r="I910">
        <v>902</v>
      </c>
      <c r="J910">
        <v>-456.46143893598276</v>
      </c>
    </row>
    <row r="911" spans="1:10" x14ac:dyDescent="0.35">
      <c r="A911">
        <v>903</v>
      </c>
      <c r="B911">
        <v>884.63456121726324</v>
      </c>
      <c r="C911">
        <v>903</v>
      </c>
      <c r="D911">
        <v>615.31325208047974</v>
      </c>
      <c r="E911">
        <v>903</v>
      </c>
      <c r="F911">
        <v>399.95787041310393</v>
      </c>
      <c r="G911">
        <v>903</v>
      </c>
      <c r="H911">
        <v>873.55766650812006</v>
      </c>
      <c r="I911">
        <v>903</v>
      </c>
      <c r="J911">
        <v>180.40541360503488</v>
      </c>
    </row>
    <row r="912" spans="1:10" x14ac:dyDescent="0.35">
      <c r="A912">
        <v>904</v>
      </c>
      <c r="B912">
        <v>606.71772700744191</v>
      </c>
      <c r="C912">
        <v>904</v>
      </c>
      <c r="D912">
        <v>763.68695018299047</v>
      </c>
      <c r="E912">
        <v>904</v>
      </c>
      <c r="F912">
        <v>35.551284987317757</v>
      </c>
      <c r="G912">
        <v>904</v>
      </c>
      <c r="H912">
        <v>174.6889295655198</v>
      </c>
      <c r="I912">
        <v>904</v>
      </c>
      <c r="J912">
        <v>89.443874408655631</v>
      </c>
    </row>
    <row r="913" spans="1:10" x14ac:dyDescent="0.35">
      <c r="A913">
        <v>905</v>
      </c>
      <c r="B913">
        <v>498.84041593763732</v>
      </c>
      <c r="C913">
        <v>905</v>
      </c>
      <c r="D913">
        <v>908.44887381687545</v>
      </c>
      <c r="E913">
        <v>905</v>
      </c>
      <c r="F913">
        <v>-249.47489550233314</v>
      </c>
      <c r="G913">
        <v>905</v>
      </c>
      <c r="H913">
        <v>674.607021994349</v>
      </c>
      <c r="I913">
        <v>905</v>
      </c>
      <c r="J913">
        <v>39.697320624151985</v>
      </c>
    </row>
    <row r="914" spans="1:10" x14ac:dyDescent="0.35">
      <c r="A914">
        <v>906</v>
      </c>
      <c r="B914">
        <v>701.32922941312142</v>
      </c>
      <c r="C914">
        <v>906</v>
      </c>
      <c r="D914">
        <v>699.73167866791891</v>
      </c>
      <c r="E914">
        <v>906</v>
      </c>
      <c r="F914">
        <v>-57.380682194929165</v>
      </c>
      <c r="G914">
        <v>906</v>
      </c>
      <c r="H914">
        <v>765.49738662638629</v>
      </c>
      <c r="I914">
        <v>906</v>
      </c>
      <c r="J914">
        <v>-127.08170098890311</v>
      </c>
    </row>
    <row r="915" spans="1:10" x14ac:dyDescent="0.35">
      <c r="A915">
        <v>907</v>
      </c>
      <c r="B915">
        <v>377.19871718034295</v>
      </c>
      <c r="C915">
        <v>907</v>
      </c>
      <c r="D915">
        <v>517.12239684032579</v>
      </c>
      <c r="E915">
        <v>907</v>
      </c>
      <c r="F915">
        <v>-114.50189687535513</v>
      </c>
      <c r="G915">
        <v>907</v>
      </c>
      <c r="H915">
        <v>127.45380786370504</v>
      </c>
      <c r="I915">
        <v>907</v>
      </c>
      <c r="J915">
        <v>-377.95298026664432</v>
      </c>
    </row>
    <row r="916" spans="1:10" x14ac:dyDescent="0.35">
      <c r="A916">
        <v>908</v>
      </c>
      <c r="B916">
        <v>635.35120429684321</v>
      </c>
      <c r="C916">
        <v>908</v>
      </c>
      <c r="D916">
        <v>513.73135183868214</v>
      </c>
      <c r="E916">
        <v>908</v>
      </c>
      <c r="F916">
        <v>80.006252616947904</v>
      </c>
      <c r="G916">
        <v>908</v>
      </c>
      <c r="H916">
        <v>962.33575625680339</v>
      </c>
      <c r="I916">
        <v>908</v>
      </c>
      <c r="J916">
        <v>215.70728266814956</v>
      </c>
    </row>
    <row r="917" spans="1:10" x14ac:dyDescent="0.35">
      <c r="A917">
        <v>909</v>
      </c>
      <c r="B917">
        <v>863.35858861453119</v>
      </c>
      <c r="C917">
        <v>909</v>
      </c>
      <c r="D917">
        <v>904.12032531874195</v>
      </c>
      <c r="E917">
        <v>909</v>
      </c>
      <c r="F917">
        <v>-350.47293531038423</v>
      </c>
      <c r="G917">
        <v>909</v>
      </c>
      <c r="H917">
        <v>89.356577399876073</v>
      </c>
      <c r="I917">
        <v>909</v>
      </c>
      <c r="J917">
        <v>390.0103319051982</v>
      </c>
    </row>
    <row r="918" spans="1:10" x14ac:dyDescent="0.35">
      <c r="A918">
        <v>910</v>
      </c>
      <c r="B918">
        <v>981.93153935936243</v>
      </c>
      <c r="C918">
        <v>910</v>
      </c>
      <c r="D918">
        <v>641.60556026969118</v>
      </c>
      <c r="E918">
        <v>910</v>
      </c>
      <c r="F918">
        <v>-192.659691118632</v>
      </c>
      <c r="G918">
        <v>910</v>
      </c>
      <c r="H918">
        <v>927.87143582856072</v>
      </c>
      <c r="I918">
        <v>910</v>
      </c>
      <c r="J918">
        <v>-401.13582177715557</v>
      </c>
    </row>
    <row r="919" spans="1:10" x14ac:dyDescent="0.35">
      <c r="A919">
        <v>911</v>
      </c>
      <c r="B919">
        <v>638.63719912194836</v>
      </c>
      <c r="C919">
        <v>911</v>
      </c>
      <c r="D919">
        <v>836.40852569036861</v>
      </c>
      <c r="E919">
        <v>911</v>
      </c>
      <c r="F919">
        <v>-317.53350328159553</v>
      </c>
      <c r="G919">
        <v>911</v>
      </c>
      <c r="H919">
        <v>740.27076495669678</v>
      </c>
      <c r="I919">
        <v>911</v>
      </c>
      <c r="J919">
        <v>165.86029752514946</v>
      </c>
    </row>
    <row r="920" spans="1:10" x14ac:dyDescent="0.35">
      <c r="A920">
        <v>912</v>
      </c>
      <c r="B920">
        <v>595.43970135490292</v>
      </c>
      <c r="C920">
        <v>912</v>
      </c>
      <c r="D920">
        <v>557.18585031955365</v>
      </c>
      <c r="E920">
        <v>912</v>
      </c>
      <c r="F920">
        <v>-2.970400710960476</v>
      </c>
      <c r="G920">
        <v>912</v>
      </c>
      <c r="H920">
        <v>314.67872546263834</v>
      </c>
      <c r="I920">
        <v>912</v>
      </c>
      <c r="J920">
        <v>-33.514836521216978</v>
      </c>
    </row>
    <row r="921" spans="1:10" x14ac:dyDescent="0.35">
      <c r="A921">
        <v>913</v>
      </c>
      <c r="B921">
        <v>310.85445391685312</v>
      </c>
      <c r="C921">
        <v>913</v>
      </c>
      <c r="D921">
        <v>526.75977636114715</v>
      </c>
      <c r="E921">
        <v>913</v>
      </c>
      <c r="F921">
        <v>422.81312376042172</v>
      </c>
      <c r="G921">
        <v>913</v>
      </c>
      <c r="H921">
        <v>813.80180983416017</v>
      </c>
      <c r="I921">
        <v>913</v>
      </c>
      <c r="J921">
        <v>-133.98966813876402</v>
      </c>
    </row>
    <row r="922" spans="1:10" x14ac:dyDescent="0.35">
      <c r="A922">
        <v>914</v>
      </c>
      <c r="B922">
        <v>1021.3244225202138</v>
      </c>
      <c r="C922">
        <v>914</v>
      </c>
      <c r="D922">
        <v>557.70464242291632</v>
      </c>
      <c r="E922">
        <v>914</v>
      </c>
      <c r="F922">
        <v>11.798251501631391</v>
      </c>
      <c r="G922">
        <v>914</v>
      </c>
      <c r="H922">
        <v>654.57288385138349</v>
      </c>
      <c r="I922">
        <v>914</v>
      </c>
      <c r="J922">
        <v>-149.0641192555631</v>
      </c>
    </row>
    <row r="923" spans="1:10" x14ac:dyDescent="0.35">
      <c r="A923">
        <v>915</v>
      </c>
      <c r="B923">
        <v>1007.0921488354159</v>
      </c>
      <c r="C923">
        <v>915</v>
      </c>
      <c r="D923">
        <v>856.27434253880074</v>
      </c>
      <c r="E923">
        <v>915</v>
      </c>
      <c r="F923">
        <v>118.89078556582497</v>
      </c>
      <c r="G923">
        <v>915</v>
      </c>
      <c r="H923">
        <v>836.55239689852681</v>
      </c>
      <c r="I923">
        <v>915</v>
      </c>
      <c r="J923">
        <v>165.51661440946771</v>
      </c>
    </row>
    <row r="924" spans="1:10" x14ac:dyDescent="0.35">
      <c r="A924">
        <v>916</v>
      </c>
      <c r="B924">
        <v>762.26250752618569</v>
      </c>
      <c r="C924">
        <v>916</v>
      </c>
      <c r="D924">
        <v>356.17646992843845</v>
      </c>
      <c r="E924">
        <v>916</v>
      </c>
      <c r="F924">
        <v>-387.46422006887695</v>
      </c>
      <c r="G924">
        <v>916</v>
      </c>
      <c r="H924">
        <v>485.13521587460713</v>
      </c>
      <c r="I924">
        <v>916</v>
      </c>
      <c r="J924">
        <v>-414.9422169113592</v>
      </c>
    </row>
    <row r="925" spans="1:10" x14ac:dyDescent="0.35">
      <c r="A925">
        <v>917</v>
      </c>
      <c r="B925">
        <v>765.78368529820341</v>
      </c>
      <c r="C925">
        <v>917</v>
      </c>
      <c r="D925">
        <v>918.69852806218751</v>
      </c>
      <c r="E925">
        <v>917</v>
      </c>
      <c r="F925">
        <v>181.94538784304351</v>
      </c>
      <c r="G925">
        <v>917</v>
      </c>
      <c r="H925">
        <v>841.33150431171612</v>
      </c>
      <c r="I925">
        <v>917</v>
      </c>
      <c r="J925">
        <v>280.34073332878665</v>
      </c>
    </row>
    <row r="926" spans="1:10" x14ac:dyDescent="0.35">
      <c r="A926">
        <v>918</v>
      </c>
      <c r="B926">
        <v>497.49133130805217</v>
      </c>
      <c r="C926">
        <v>918</v>
      </c>
      <c r="D926">
        <v>596.90541950635441</v>
      </c>
      <c r="E926">
        <v>918</v>
      </c>
      <c r="F926">
        <v>149.60747170436818</v>
      </c>
      <c r="G926">
        <v>918</v>
      </c>
      <c r="H926">
        <v>493.17712958610747</v>
      </c>
      <c r="I926">
        <v>918</v>
      </c>
      <c r="J926">
        <v>161.22097416007836</v>
      </c>
    </row>
    <row r="927" spans="1:10" x14ac:dyDescent="0.35">
      <c r="A927">
        <v>919</v>
      </c>
      <c r="B927">
        <v>473.39043384852903</v>
      </c>
      <c r="C927">
        <v>919</v>
      </c>
      <c r="D927">
        <v>711.68886092221123</v>
      </c>
      <c r="E927">
        <v>919</v>
      </c>
      <c r="F927">
        <v>-242.41288300264745</v>
      </c>
      <c r="G927">
        <v>919</v>
      </c>
      <c r="H927">
        <v>-160.10099311491325</v>
      </c>
      <c r="I927">
        <v>919</v>
      </c>
      <c r="J927">
        <v>289.4864971037984</v>
      </c>
    </row>
    <row r="928" spans="1:10" x14ac:dyDescent="0.35">
      <c r="A928">
        <v>920</v>
      </c>
      <c r="B928">
        <v>799.35535482826583</v>
      </c>
      <c r="C928">
        <v>920</v>
      </c>
      <c r="D928">
        <v>725.30712698041634</v>
      </c>
      <c r="E928">
        <v>920</v>
      </c>
      <c r="F928">
        <v>97.552433876827777</v>
      </c>
      <c r="G928">
        <v>920</v>
      </c>
      <c r="H928">
        <v>925.86479133432078</v>
      </c>
      <c r="I928">
        <v>920</v>
      </c>
      <c r="J928">
        <v>-294.95775791397011</v>
      </c>
    </row>
    <row r="929" spans="1:10" x14ac:dyDescent="0.35">
      <c r="A929">
        <v>921</v>
      </c>
      <c r="B929">
        <v>923.02250519284632</v>
      </c>
      <c r="C929">
        <v>921</v>
      </c>
      <c r="D929">
        <v>698.90259044597849</v>
      </c>
      <c r="E929">
        <v>921</v>
      </c>
      <c r="F929">
        <v>431.75707930129909</v>
      </c>
      <c r="G929">
        <v>921</v>
      </c>
      <c r="H929">
        <v>1048.9587141760485</v>
      </c>
      <c r="I929">
        <v>921</v>
      </c>
      <c r="J929">
        <v>628.52583841210424</v>
      </c>
    </row>
    <row r="930" spans="1:10" x14ac:dyDescent="0.35">
      <c r="A930">
        <v>922</v>
      </c>
      <c r="B930">
        <v>746.09065620435604</v>
      </c>
      <c r="C930">
        <v>922</v>
      </c>
      <c r="D930">
        <v>259.69066077825511</v>
      </c>
      <c r="E930">
        <v>922</v>
      </c>
      <c r="F930">
        <v>-209.52983876431949</v>
      </c>
      <c r="G930">
        <v>922</v>
      </c>
      <c r="H930">
        <v>705.47723183105927</v>
      </c>
      <c r="I930">
        <v>922</v>
      </c>
      <c r="J930">
        <v>-296.22497160751573</v>
      </c>
    </row>
    <row r="931" spans="1:10" x14ac:dyDescent="0.35">
      <c r="A931">
        <v>923</v>
      </c>
      <c r="B931">
        <v>1064.122699783112</v>
      </c>
      <c r="C931">
        <v>923</v>
      </c>
      <c r="D931">
        <v>829.85134562102166</v>
      </c>
      <c r="E931">
        <v>923</v>
      </c>
      <c r="F931">
        <v>248.1879759919876</v>
      </c>
      <c r="G931">
        <v>923</v>
      </c>
      <c r="H931">
        <v>401.75737140220031</v>
      </c>
      <c r="I931">
        <v>923</v>
      </c>
      <c r="J931">
        <v>-540.42435941160534</v>
      </c>
    </row>
    <row r="932" spans="1:10" x14ac:dyDescent="0.35">
      <c r="A932">
        <v>924</v>
      </c>
      <c r="B932">
        <v>718.47365674279365</v>
      </c>
      <c r="C932">
        <v>924</v>
      </c>
      <c r="D932">
        <v>894.98420072976126</v>
      </c>
      <c r="E932">
        <v>924</v>
      </c>
      <c r="F932">
        <v>163.07132633077785</v>
      </c>
      <c r="G932">
        <v>924</v>
      </c>
      <c r="H932">
        <v>225.95358566655386</v>
      </c>
      <c r="I932">
        <v>924</v>
      </c>
      <c r="J932">
        <v>-224.52984817699965</v>
      </c>
    </row>
    <row r="933" spans="1:10" x14ac:dyDescent="0.35">
      <c r="A933">
        <v>925</v>
      </c>
      <c r="B933">
        <v>752.01744845610494</v>
      </c>
      <c r="C933">
        <v>925</v>
      </c>
      <c r="D933">
        <v>659.9392997055279</v>
      </c>
      <c r="E933">
        <v>925</v>
      </c>
      <c r="F933">
        <v>237.99716576943783</v>
      </c>
      <c r="G933">
        <v>925</v>
      </c>
      <c r="H933">
        <v>240.06089919426711</v>
      </c>
      <c r="I933">
        <v>925</v>
      </c>
      <c r="J933">
        <v>-681.11740749002115</v>
      </c>
    </row>
    <row r="934" spans="1:10" x14ac:dyDescent="0.35">
      <c r="A934">
        <v>926</v>
      </c>
      <c r="B934">
        <v>696.05829222116097</v>
      </c>
      <c r="C934">
        <v>926</v>
      </c>
      <c r="D934">
        <v>507.00295992746192</v>
      </c>
      <c r="E934">
        <v>926</v>
      </c>
      <c r="F934">
        <v>206.40862205972698</v>
      </c>
      <c r="G934">
        <v>926</v>
      </c>
      <c r="H934">
        <v>600.48786593834006</v>
      </c>
      <c r="I934">
        <v>926</v>
      </c>
      <c r="J934">
        <v>-406.80847893614202</v>
      </c>
    </row>
    <row r="935" spans="1:10" x14ac:dyDescent="0.35">
      <c r="A935">
        <v>927</v>
      </c>
      <c r="B935">
        <v>574.26282845274761</v>
      </c>
      <c r="C935">
        <v>927</v>
      </c>
      <c r="D935">
        <v>681.8569224166115</v>
      </c>
      <c r="E935">
        <v>927</v>
      </c>
      <c r="F935">
        <v>659.61617576833987</v>
      </c>
      <c r="G935">
        <v>927</v>
      </c>
      <c r="H935">
        <v>525.06846622555179</v>
      </c>
      <c r="I935">
        <v>927</v>
      </c>
      <c r="J935">
        <v>-103.61398565157501</v>
      </c>
    </row>
    <row r="936" spans="1:10" x14ac:dyDescent="0.35">
      <c r="A936">
        <v>928</v>
      </c>
      <c r="B936">
        <v>796.89638588251205</v>
      </c>
      <c r="C936">
        <v>928</v>
      </c>
      <c r="D936">
        <v>790.6103894734963</v>
      </c>
      <c r="E936">
        <v>928</v>
      </c>
      <c r="F936">
        <v>-143.89694994608072</v>
      </c>
      <c r="G936">
        <v>928</v>
      </c>
      <c r="H936">
        <v>675.87174402256778</v>
      </c>
      <c r="I936">
        <v>928</v>
      </c>
      <c r="J936">
        <v>30.730404630797182</v>
      </c>
    </row>
    <row r="937" spans="1:10" x14ac:dyDescent="0.35">
      <c r="A937">
        <v>929</v>
      </c>
      <c r="B937">
        <v>686.31602123968196</v>
      </c>
      <c r="C937">
        <v>929</v>
      </c>
      <c r="D937">
        <v>574.79465434944973</v>
      </c>
      <c r="E937">
        <v>929</v>
      </c>
      <c r="F937">
        <v>348.4654534165827</v>
      </c>
      <c r="G937">
        <v>929</v>
      </c>
      <c r="H937">
        <v>1241.2841837676235</v>
      </c>
      <c r="I937">
        <v>929</v>
      </c>
      <c r="J937">
        <v>-826.62588544714765</v>
      </c>
    </row>
    <row r="938" spans="1:10" x14ac:dyDescent="0.35">
      <c r="A938">
        <v>930</v>
      </c>
      <c r="B938">
        <v>785.19237105169475</v>
      </c>
      <c r="C938">
        <v>930</v>
      </c>
      <c r="D938">
        <v>886.30799873303522</v>
      </c>
      <c r="E938">
        <v>930</v>
      </c>
      <c r="F938">
        <v>-122.62285797081444</v>
      </c>
      <c r="G938">
        <v>930</v>
      </c>
      <c r="H938">
        <v>355.70985153259528</v>
      </c>
      <c r="I938">
        <v>930</v>
      </c>
      <c r="J938">
        <v>-150.13422525214</v>
      </c>
    </row>
    <row r="939" spans="1:10" x14ac:dyDescent="0.35">
      <c r="A939">
        <v>931</v>
      </c>
      <c r="B939">
        <v>769.12334147273168</v>
      </c>
      <c r="C939">
        <v>931</v>
      </c>
      <c r="D939">
        <v>742.4584367915902</v>
      </c>
      <c r="E939">
        <v>931</v>
      </c>
      <c r="F939">
        <v>-92.700114394371582</v>
      </c>
      <c r="G939">
        <v>931</v>
      </c>
      <c r="H939">
        <v>309.15029577654479</v>
      </c>
      <c r="I939">
        <v>931</v>
      </c>
      <c r="J939">
        <v>-459.41980910091786</v>
      </c>
    </row>
    <row r="940" spans="1:10" x14ac:dyDescent="0.35">
      <c r="A940">
        <v>932</v>
      </c>
      <c r="B940">
        <v>888.07248859298215</v>
      </c>
      <c r="C940">
        <v>932</v>
      </c>
      <c r="D940">
        <v>723.89782659734249</v>
      </c>
      <c r="E940">
        <v>932</v>
      </c>
      <c r="F940">
        <v>353.32239338586191</v>
      </c>
      <c r="G940">
        <v>932</v>
      </c>
      <c r="H940">
        <v>607.3916149261438</v>
      </c>
      <c r="I940">
        <v>932</v>
      </c>
      <c r="J940">
        <v>-336.28501227883532</v>
      </c>
    </row>
    <row r="941" spans="1:10" x14ac:dyDescent="0.35">
      <c r="A941">
        <v>933</v>
      </c>
      <c r="B941">
        <v>715.80081961950498</v>
      </c>
      <c r="C941">
        <v>933</v>
      </c>
      <c r="D941">
        <v>403.29937010287892</v>
      </c>
      <c r="E941">
        <v>933</v>
      </c>
      <c r="F941">
        <v>-15.959344253532237</v>
      </c>
      <c r="G941">
        <v>933</v>
      </c>
      <c r="H941">
        <v>463.82960244243088</v>
      </c>
      <c r="I941">
        <v>933</v>
      </c>
      <c r="J941">
        <v>-367.27216082255984</v>
      </c>
    </row>
    <row r="942" spans="1:10" x14ac:dyDescent="0.35">
      <c r="A942">
        <v>934</v>
      </c>
      <c r="B942">
        <v>649.12118822541026</v>
      </c>
      <c r="C942">
        <v>934</v>
      </c>
      <c r="D942">
        <v>736.60315871501746</v>
      </c>
      <c r="E942">
        <v>934</v>
      </c>
      <c r="F942">
        <v>129.29842136312061</v>
      </c>
      <c r="G942">
        <v>934</v>
      </c>
      <c r="H942">
        <v>572.73644255871523</v>
      </c>
      <c r="I942">
        <v>934</v>
      </c>
      <c r="J942">
        <v>-306.75116386055078</v>
      </c>
    </row>
    <row r="943" spans="1:10" x14ac:dyDescent="0.35">
      <c r="A943">
        <v>935</v>
      </c>
      <c r="B943">
        <v>555.12157083210059</v>
      </c>
      <c r="C943">
        <v>935</v>
      </c>
      <c r="D943">
        <v>436.50991655501537</v>
      </c>
      <c r="E943">
        <v>935</v>
      </c>
      <c r="F943">
        <v>-105.16505954155366</v>
      </c>
      <c r="G943">
        <v>935</v>
      </c>
      <c r="H943">
        <v>399.06379221027885</v>
      </c>
      <c r="I943">
        <v>935</v>
      </c>
      <c r="J943">
        <v>-15.902813341088518</v>
      </c>
    </row>
    <row r="944" spans="1:10" x14ac:dyDescent="0.35">
      <c r="A944">
        <v>936</v>
      </c>
      <c r="B944">
        <v>737.08524122102722</v>
      </c>
      <c r="C944">
        <v>936</v>
      </c>
      <c r="D944">
        <v>973.49190516657791</v>
      </c>
      <c r="E944">
        <v>936</v>
      </c>
      <c r="F944">
        <v>335.46308068193781</v>
      </c>
      <c r="G944">
        <v>936</v>
      </c>
      <c r="H944">
        <v>755.99030444198786</v>
      </c>
      <c r="I944">
        <v>936</v>
      </c>
      <c r="J944">
        <v>-563.36425825894082</v>
      </c>
    </row>
    <row r="945" spans="1:10" x14ac:dyDescent="0.35">
      <c r="A945">
        <v>937</v>
      </c>
      <c r="B945">
        <v>545.43202186040878</v>
      </c>
      <c r="C945">
        <v>937</v>
      </c>
      <c r="D945">
        <v>264.97098122517701</v>
      </c>
      <c r="E945">
        <v>937</v>
      </c>
      <c r="F945">
        <v>-23.318913540489731</v>
      </c>
      <c r="G945">
        <v>937</v>
      </c>
      <c r="H945">
        <v>937.88665197926116</v>
      </c>
      <c r="I945">
        <v>937</v>
      </c>
      <c r="J945">
        <v>-43.126717986650903</v>
      </c>
    </row>
    <row r="946" spans="1:10" x14ac:dyDescent="0.35">
      <c r="A946">
        <v>938</v>
      </c>
      <c r="B946">
        <v>377.53339059896666</v>
      </c>
      <c r="C946">
        <v>938</v>
      </c>
      <c r="D946">
        <v>476.44423471995083</v>
      </c>
      <c r="E946">
        <v>938</v>
      </c>
      <c r="F946">
        <v>-100.73685903395312</v>
      </c>
      <c r="G946">
        <v>938</v>
      </c>
      <c r="H946">
        <v>629.84204785221414</v>
      </c>
      <c r="I946">
        <v>938</v>
      </c>
      <c r="J946">
        <v>-451.3511975610985</v>
      </c>
    </row>
    <row r="947" spans="1:10" x14ac:dyDescent="0.35">
      <c r="A947">
        <v>939</v>
      </c>
      <c r="B947">
        <v>204.07588005846912</v>
      </c>
      <c r="C947">
        <v>939</v>
      </c>
      <c r="D947">
        <v>560.58825670743477</v>
      </c>
      <c r="E947">
        <v>939</v>
      </c>
      <c r="F947">
        <v>-190.65333790739885</v>
      </c>
      <c r="G947">
        <v>939</v>
      </c>
      <c r="H947">
        <v>318.5429811377021</v>
      </c>
      <c r="I947">
        <v>939</v>
      </c>
      <c r="J947">
        <v>-547.72371221747687</v>
      </c>
    </row>
    <row r="948" spans="1:10" x14ac:dyDescent="0.35">
      <c r="A948">
        <v>940</v>
      </c>
      <c r="B948">
        <v>492.7701780890211</v>
      </c>
      <c r="C948">
        <v>940</v>
      </c>
      <c r="D948">
        <v>975.06598084105076</v>
      </c>
      <c r="E948">
        <v>940</v>
      </c>
      <c r="F948">
        <v>-72.073900509603817</v>
      </c>
      <c r="G948">
        <v>940</v>
      </c>
      <c r="H948">
        <v>681.41344948155279</v>
      </c>
      <c r="I948">
        <v>940</v>
      </c>
      <c r="J948">
        <v>-635.44058753090349</v>
      </c>
    </row>
    <row r="949" spans="1:10" x14ac:dyDescent="0.35">
      <c r="A949">
        <v>941</v>
      </c>
      <c r="B949">
        <v>819.705172848855</v>
      </c>
      <c r="C949">
        <v>941</v>
      </c>
      <c r="D949">
        <v>797.81037422541681</v>
      </c>
      <c r="E949">
        <v>941</v>
      </c>
      <c r="F949">
        <v>204.38056526172406</v>
      </c>
      <c r="G949">
        <v>941</v>
      </c>
      <c r="H949">
        <v>552.20285707944379</v>
      </c>
      <c r="I949">
        <v>941</v>
      </c>
      <c r="J949">
        <v>-80.302706726180418</v>
      </c>
    </row>
    <row r="950" spans="1:10" x14ac:dyDescent="0.35">
      <c r="A950">
        <v>942</v>
      </c>
      <c r="B950">
        <v>381.5922730300266</v>
      </c>
      <c r="C950">
        <v>942</v>
      </c>
      <c r="D950">
        <v>742.10778482405499</v>
      </c>
      <c r="E950">
        <v>942</v>
      </c>
      <c r="F950">
        <v>168.14867160177374</v>
      </c>
      <c r="G950">
        <v>942</v>
      </c>
      <c r="H950">
        <v>377.76050040439139</v>
      </c>
      <c r="I950">
        <v>942</v>
      </c>
      <c r="J950">
        <v>-161.45049276426334</v>
      </c>
    </row>
    <row r="951" spans="1:10" x14ac:dyDescent="0.35">
      <c r="A951">
        <v>943</v>
      </c>
      <c r="B951">
        <v>1095.1433379768789</v>
      </c>
      <c r="C951">
        <v>943</v>
      </c>
      <c r="D951">
        <v>619.26360243150179</v>
      </c>
      <c r="E951">
        <v>943</v>
      </c>
      <c r="F951">
        <v>234.95773543205081</v>
      </c>
      <c r="G951">
        <v>943</v>
      </c>
      <c r="H951">
        <v>175.8167111569586</v>
      </c>
      <c r="I951">
        <v>943</v>
      </c>
      <c r="J951">
        <v>31.898316943348732</v>
      </c>
    </row>
    <row r="952" spans="1:10" x14ac:dyDescent="0.35">
      <c r="A952">
        <v>944</v>
      </c>
      <c r="B952">
        <v>824.00557303830396</v>
      </c>
      <c r="C952">
        <v>944</v>
      </c>
      <c r="D952">
        <v>556.18653776157657</v>
      </c>
      <c r="E952">
        <v>944</v>
      </c>
      <c r="F952">
        <v>-285.87721671420445</v>
      </c>
      <c r="G952">
        <v>944</v>
      </c>
      <c r="H952">
        <v>263.28284492784167</v>
      </c>
      <c r="I952">
        <v>944</v>
      </c>
      <c r="J952">
        <v>-80.616990061976367</v>
      </c>
    </row>
    <row r="953" spans="1:10" x14ac:dyDescent="0.35">
      <c r="A953">
        <v>945</v>
      </c>
      <c r="B953">
        <v>596.51757696446657</v>
      </c>
      <c r="C953">
        <v>945</v>
      </c>
      <c r="D953">
        <v>585.94319853388367</v>
      </c>
      <c r="E953">
        <v>945</v>
      </c>
      <c r="F953">
        <v>44.326744414005262</v>
      </c>
      <c r="G953">
        <v>945</v>
      </c>
      <c r="H953">
        <v>556.91893891761049</v>
      </c>
      <c r="I953">
        <v>945</v>
      </c>
      <c r="J953">
        <v>-344.52658988604389</v>
      </c>
    </row>
    <row r="954" spans="1:10" x14ac:dyDescent="0.35">
      <c r="A954">
        <v>946</v>
      </c>
      <c r="B954">
        <v>642.97607202318682</v>
      </c>
      <c r="C954">
        <v>946</v>
      </c>
      <c r="D954">
        <v>525.35910091328458</v>
      </c>
      <c r="E954">
        <v>946</v>
      </c>
      <c r="F954">
        <v>391.16234396055205</v>
      </c>
      <c r="G954">
        <v>946</v>
      </c>
      <c r="H954">
        <v>1337.6855604115751</v>
      </c>
      <c r="I954">
        <v>946</v>
      </c>
      <c r="J954">
        <v>-228.23220429458956</v>
      </c>
    </row>
    <row r="955" spans="1:10" x14ac:dyDescent="0.35">
      <c r="A955">
        <v>947</v>
      </c>
      <c r="B955">
        <v>259.72108398586499</v>
      </c>
      <c r="C955">
        <v>947</v>
      </c>
      <c r="D955">
        <v>543.01171493725633</v>
      </c>
      <c r="E955">
        <v>947</v>
      </c>
      <c r="F955">
        <v>-4.8139715266814704</v>
      </c>
      <c r="G955">
        <v>947</v>
      </c>
      <c r="H955">
        <v>582.99069198184225</v>
      </c>
      <c r="I955">
        <v>947</v>
      </c>
      <c r="J955">
        <v>-76.646258455127452</v>
      </c>
    </row>
    <row r="956" spans="1:10" x14ac:dyDescent="0.35">
      <c r="A956">
        <v>948</v>
      </c>
      <c r="B956">
        <v>638.76756162054619</v>
      </c>
      <c r="C956">
        <v>948</v>
      </c>
      <c r="D956">
        <v>518.82821018066556</v>
      </c>
      <c r="E956">
        <v>948</v>
      </c>
      <c r="F956">
        <v>-39.140119989709234</v>
      </c>
      <c r="G956">
        <v>948</v>
      </c>
      <c r="H956">
        <v>518.0828487951577</v>
      </c>
      <c r="I956">
        <v>948</v>
      </c>
      <c r="J956">
        <v>-363.06934321886581</v>
      </c>
    </row>
    <row r="957" spans="1:10" x14ac:dyDescent="0.35">
      <c r="A957">
        <v>949</v>
      </c>
      <c r="B957">
        <v>700.38469945825113</v>
      </c>
      <c r="C957">
        <v>949</v>
      </c>
      <c r="D957">
        <v>418.75289948094752</v>
      </c>
      <c r="E957">
        <v>949</v>
      </c>
      <c r="F957">
        <v>200.2761966609005</v>
      </c>
      <c r="G957">
        <v>949</v>
      </c>
      <c r="H957">
        <v>588.65966061389565</v>
      </c>
      <c r="I957">
        <v>949</v>
      </c>
      <c r="J957">
        <v>-407.61614602921316</v>
      </c>
    </row>
    <row r="958" spans="1:10" x14ac:dyDescent="0.35">
      <c r="A958">
        <v>950</v>
      </c>
      <c r="B958">
        <v>789.90471053656847</v>
      </c>
      <c r="C958">
        <v>950</v>
      </c>
      <c r="D958">
        <v>772.34102703353062</v>
      </c>
      <c r="E958">
        <v>950</v>
      </c>
      <c r="F958">
        <v>85.562325805100954</v>
      </c>
      <c r="G958">
        <v>950</v>
      </c>
      <c r="H958">
        <v>586.65471785293914</v>
      </c>
      <c r="I958">
        <v>950</v>
      </c>
      <c r="J958">
        <v>234.16885166418371</v>
      </c>
    </row>
    <row r="959" spans="1:10" x14ac:dyDescent="0.35">
      <c r="A959">
        <v>951</v>
      </c>
      <c r="B959">
        <v>565.57994584151493</v>
      </c>
      <c r="C959">
        <v>951</v>
      </c>
      <c r="D959">
        <v>413.90311334899468</v>
      </c>
      <c r="E959">
        <v>951</v>
      </c>
      <c r="F959">
        <v>-159.44385218505002</v>
      </c>
      <c r="G959">
        <v>951</v>
      </c>
      <c r="H959">
        <v>520.39331657668095</v>
      </c>
      <c r="I959">
        <v>951</v>
      </c>
      <c r="J959">
        <v>-341.03421809529868</v>
      </c>
    </row>
    <row r="960" spans="1:10" x14ac:dyDescent="0.35">
      <c r="A960">
        <v>952</v>
      </c>
      <c r="B960">
        <v>604.43715998061759</v>
      </c>
      <c r="C960">
        <v>952</v>
      </c>
      <c r="D960">
        <v>639.84258646910132</v>
      </c>
      <c r="E960">
        <v>952</v>
      </c>
      <c r="F960">
        <v>-103.44568458277234</v>
      </c>
      <c r="G960">
        <v>952</v>
      </c>
      <c r="H960">
        <v>870.5319071881338</v>
      </c>
      <c r="I960">
        <v>952</v>
      </c>
      <c r="J960">
        <v>-439.37091128150564</v>
      </c>
    </row>
    <row r="961" spans="1:10" x14ac:dyDescent="0.35">
      <c r="A961">
        <v>953</v>
      </c>
      <c r="B961">
        <v>950.8551366265724</v>
      </c>
      <c r="C961">
        <v>953</v>
      </c>
      <c r="D961">
        <v>423.49805288295039</v>
      </c>
      <c r="E961">
        <v>953</v>
      </c>
      <c r="F961">
        <v>155.51781595070673</v>
      </c>
      <c r="G961">
        <v>953</v>
      </c>
      <c r="H961">
        <v>357.49557525322655</v>
      </c>
      <c r="I961">
        <v>953</v>
      </c>
      <c r="J961">
        <v>-715.57362928435498</v>
      </c>
    </row>
    <row r="962" spans="1:10" x14ac:dyDescent="0.35">
      <c r="A962">
        <v>954</v>
      </c>
      <c r="B962">
        <v>909.50623952080014</v>
      </c>
      <c r="C962">
        <v>954</v>
      </c>
      <c r="D962">
        <v>448.99125573014317</v>
      </c>
      <c r="E962">
        <v>954</v>
      </c>
      <c r="F962">
        <v>623.61817333891179</v>
      </c>
      <c r="G962">
        <v>954</v>
      </c>
      <c r="H962">
        <v>306.90255710282861</v>
      </c>
      <c r="I962">
        <v>954</v>
      </c>
      <c r="J962">
        <v>-669.48384718204318</v>
      </c>
    </row>
    <row r="963" spans="1:10" x14ac:dyDescent="0.35">
      <c r="A963">
        <v>955</v>
      </c>
      <c r="B963">
        <v>331.6407357699473</v>
      </c>
      <c r="C963">
        <v>955</v>
      </c>
      <c r="D963">
        <v>722.83200335657739</v>
      </c>
      <c r="E963">
        <v>955</v>
      </c>
      <c r="F963">
        <v>-292.92184489877252</v>
      </c>
      <c r="G963">
        <v>955</v>
      </c>
      <c r="H963">
        <v>328.88216392991836</v>
      </c>
      <c r="I963">
        <v>955</v>
      </c>
      <c r="J963">
        <v>356.45343006938697</v>
      </c>
    </row>
    <row r="964" spans="1:10" x14ac:dyDescent="0.35">
      <c r="A964">
        <v>956</v>
      </c>
      <c r="B964">
        <v>516.42392315464281</v>
      </c>
      <c r="C964">
        <v>956</v>
      </c>
      <c r="D964">
        <v>901.47471198164158</v>
      </c>
      <c r="E964">
        <v>956</v>
      </c>
      <c r="F964">
        <v>184.86786754890716</v>
      </c>
      <c r="G964">
        <v>956</v>
      </c>
      <c r="H964">
        <v>541.23622613289092</v>
      </c>
      <c r="I964">
        <v>956</v>
      </c>
      <c r="J964">
        <v>-258.56625354862069</v>
      </c>
    </row>
    <row r="965" spans="1:10" x14ac:dyDescent="0.35">
      <c r="A965">
        <v>957</v>
      </c>
      <c r="B965">
        <v>886.88405331110164</v>
      </c>
      <c r="C965">
        <v>957</v>
      </c>
      <c r="D965">
        <v>424.07472813178072</v>
      </c>
      <c r="E965">
        <v>957</v>
      </c>
      <c r="F965">
        <v>37.635779511260573</v>
      </c>
      <c r="G965">
        <v>957</v>
      </c>
      <c r="H965">
        <v>-181.7257419456443</v>
      </c>
      <c r="I965">
        <v>957</v>
      </c>
      <c r="J965">
        <v>-492.9450732775307</v>
      </c>
    </row>
    <row r="966" spans="1:10" x14ac:dyDescent="0.35">
      <c r="A966">
        <v>958</v>
      </c>
      <c r="B966">
        <v>529.56526317744817</v>
      </c>
      <c r="C966">
        <v>958</v>
      </c>
      <c r="D966">
        <v>421.77883916557136</v>
      </c>
      <c r="E966">
        <v>958</v>
      </c>
      <c r="F966">
        <v>137.33581619884677</v>
      </c>
      <c r="G966">
        <v>958</v>
      </c>
      <c r="H966">
        <v>49.14237468055228</v>
      </c>
      <c r="I966">
        <v>958</v>
      </c>
      <c r="J966">
        <v>-213.53180316267171</v>
      </c>
    </row>
    <row r="967" spans="1:10" x14ac:dyDescent="0.35">
      <c r="A967">
        <v>959</v>
      </c>
      <c r="B967">
        <v>559.79652186226826</v>
      </c>
      <c r="C967">
        <v>959</v>
      </c>
      <c r="D967">
        <v>601.13892149166895</v>
      </c>
      <c r="E967">
        <v>959</v>
      </c>
      <c r="F967">
        <v>-95.3152362889698</v>
      </c>
      <c r="G967">
        <v>959</v>
      </c>
      <c r="H967">
        <v>-350.85140985569325</v>
      </c>
      <c r="I967">
        <v>959</v>
      </c>
      <c r="J967">
        <v>194.30771430396942</v>
      </c>
    </row>
    <row r="968" spans="1:10" x14ac:dyDescent="0.35">
      <c r="A968">
        <v>960</v>
      </c>
      <c r="B968">
        <v>522.1020098159388</v>
      </c>
      <c r="C968">
        <v>960</v>
      </c>
      <c r="D968">
        <v>881.84682089579223</v>
      </c>
      <c r="E968">
        <v>960</v>
      </c>
      <c r="F968">
        <v>-125.81754017889591</v>
      </c>
      <c r="G968">
        <v>960</v>
      </c>
      <c r="H968">
        <v>814.40026826850385</v>
      </c>
      <c r="I968">
        <v>960</v>
      </c>
      <c r="J968">
        <v>119.89793290499318</v>
      </c>
    </row>
    <row r="969" spans="1:10" x14ac:dyDescent="0.35">
      <c r="A969">
        <v>961</v>
      </c>
      <c r="B969">
        <v>748.64638947161268</v>
      </c>
      <c r="C969">
        <v>961</v>
      </c>
      <c r="D969">
        <v>796.23688590537779</v>
      </c>
      <c r="E969">
        <v>961</v>
      </c>
      <c r="F969">
        <v>203.21351518744095</v>
      </c>
      <c r="G969">
        <v>961</v>
      </c>
      <c r="H969">
        <v>704.69878913126956</v>
      </c>
      <c r="I969">
        <v>961</v>
      </c>
      <c r="J969">
        <v>-87.221400591642293</v>
      </c>
    </row>
    <row r="970" spans="1:10" x14ac:dyDescent="0.35">
      <c r="A970">
        <v>962</v>
      </c>
      <c r="B970">
        <v>751.83441916014795</v>
      </c>
      <c r="C970">
        <v>962</v>
      </c>
      <c r="D970">
        <v>682.28060886530807</v>
      </c>
      <c r="E970">
        <v>962</v>
      </c>
      <c r="F970">
        <v>-152.14755222262244</v>
      </c>
      <c r="G970">
        <v>962</v>
      </c>
      <c r="H970">
        <v>317.84123130000984</v>
      </c>
      <c r="I970">
        <v>962</v>
      </c>
      <c r="J970">
        <v>-673.18051995796122</v>
      </c>
    </row>
    <row r="971" spans="1:10" x14ac:dyDescent="0.35">
      <c r="A971">
        <v>963</v>
      </c>
      <c r="B971">
        <v>516.79817216212598</v>
      </c>
      <c r="C971">
        <v>963</v>
      </c>
      <c r="D971">
        <v>902.83593487053861</v>
      </c>
      <c r="E971">
        <v>963</v>
      </c>
      <c r="F971">
        <v>-87.557354188237383</v>
      </c>
      <c r="G971">
        <v>963</v>
      </c>
      <c r="H971">
        <v>408.30554172306205</v>
      </c>
      <c r="I971">
        <v>963</v>
      </c>
      <c r="J971">
        <v>-48.530054103893093</v>
      </c>
    </row>
    <row r="972" spans="1:10" x14ac:dyDescent="0.35">
      <c r="A972">
        <v>964</v>
      </c>
      <c r="B972">
        <v>667.03844879268581</v>
      </c>
      <c r="C972">
        <v>964</v>
      </c>
      <c r="D972">
        <v>967.96777351562343</v>
      </c>
      <c r="E972">
        <v>964</v>
      </c>
      <c r="F972">
        <v>268.95275185750273</v>
      </c>
      <c r="G972">
        <v>964</v>
      </c>
      <c r="H972">
        <v>842.15128683247872</v>
      </c>
      <c r="I972">
        <v>964</v>
      </c>
      <c r="J972">
        <v>-413.34671104858216</v>
      </c>
    </row>
    <row r="973" spans="1:10" x14ac:dyDescent="0.35">
      <c r="A973">
        <v>965</v>
      </c>
      <c r="B973">
        <v>702.08068201254923</v>
      </c>
      <c r="C973">
        <v>965</v>
      </c>
      <c r="D973">
        <v>416.84303485410129</v>
      </c>
      <c r="E973">
        <v>965</v>
      </c>
      <c r="F973">
        <v>195.77046568811321</v>
      </c>
      <c r="G973">
        <v>965</v>
      </c>
      <c r="H973">
        <v>812.71470150258006</v>
      </c>
      <c r="I973">
        <v>965</v>
      </c>
      <c r="J973">
        <v>-209.74069641602932</v>
      </c>
    </row>
    <row r="974" spans="1:10" x14ac:dyDescent="0.35">
      <c r="A974">
        <v>966</v>
      </c>
      <c r="B974">
        <v>803.99336087074244</v>
      </c>
      <c r="C974">
        <v>966</v>
      </c>
      <c r="D974">
        <v>845.89148565726464</v>
      </c>
      <c r="E974">
        <v>966</v>
      </c>
      <c r="F974">
        <v>-172.16820083676808</v>
      </c>
      <c r="G974">
        <v>966</v>
      </c>
      <c r="H974">
        <v>13.968124147976368</v>
      </c>
      <c r="I974">
        <v>966</v>
      </c>
      <c r="J974">
        <v>-301.58706015517032</v>
      </c>
    </row>
    <row r="975" spans="1:10" x14ac:dyDescent="0.35">
      <c r="A975">
        <v>967</v>
      </c>
      <c r="B975">
        <v>531.90658666591526</v>
      </c>
      <c r="C975">
        <v>967</v>
      </c>
      <c r="D975">
        <v>429.15694194245964</v>
      </c>
      <c r="E975">
        <v>967</v>
      </c>
      <c r="F975">
        <v>-24.536886286802002</v>
      </c>
      <c r="G975">
        <v>967</v>
      </c>
      <c r="H975">
        <v>299.98496775488479</v>
      </c>
      <c r="I975">
        <v>967</v>
      </c>
      <c r="J975">
        <v>32.202369806911264</v>
      </c>
    </row>
    <row r="976" spans="1:10" x14ac:dyDescent="0.35">
      <c r="A976">
        <v>968</v>
      </c>
      <c r="B976">
        <v>744.65431268072086</v>
      </c>
      <c r="C976">
        <v>968</v>
      </c>
      <c r="D976">
        <v>797.65104336883769</v>
      </c>
      <c r="E976">
        <v>968</v>
      </c>
      <c r="F976">
        <v>517.7037219345832</v>
      </c>
      <c r="G976">
        <v>968</v>
      </c>
      <c r="H976">
        <v>356.10123625917606</v>
      </c>
      <c r="I976">
        <v>968</v>
      </c>
      <c r="J976">
        <v>58.866995056526491</v>
      </c>
    </row>
    <row r="977" spans="1:10" x14ac:dyDescent="0.35">
      <c r="A977">
        <v>969</v>
      </c>
      <c r="B977">
        <v>781.96721913140846</v>
      </c>
      <c r="C977">
        <v>969</v>
      </c>
      <c r="D977">
        <v>564.32624696052005</v>
      </c>
      <c r="E977">
        <v>969</v>
      </c>
      <c r="F977">
        <v>200.491954963334</v>
      </c>
      <c r="G977">
        <v>969</v>
      </c>
      <c r="H977">
        <v>623.84007490917861</v>
      </c>
      <c r="I977">
        <v>969</v>
      </c>
      <c r="J977">
        <v>-5.4522457715291353</v>
      </c>
    </row>
    <row r="978" spans="1:10" x14ac:dyDescent="0.35">
      <c r="A978">
        <v>970</v>
      </c>
      <c r="B978">
        <v>630.77461707839052</v>
      </c>
      <c r="C978">
        <v>970</v>
      </c>
      <c r="D978">
        <v>536.39549314608723</v>
      </c>
      <c r="E978">
        <v>970</v>
      </c>
      <c r="F978">
        <v>-138.78362016157612</v>
      </c>
      <c r="G978">
        <v>970</v>
      </c>
      <c r="H978">
        <v>485.13512774210409</v>
      </c>
      <c r="I978">
        <v>970</v>
      </c>
      <c r="J978">
        <v>-342.56423193804278</v>
      </c>
    </row>
    <row r="979" spans="1:10" x14ac:dyDescent="0.35">
      <c r="A979">
        <v>971</v>
      </c>
      <c r="B979">
        <v>677.13220724798884</v>
      </c>
      <c r="C979">
        <v>971</v>
      </c>
      <c r="D979">
        <v>945.06597213521468</v>
      </c>
      <c r="E979">
        <v>971</v>
      </c>
      <c r="F979">
        <v>82.971223906643843</v>
      </c>
      <c r="G979">
        <v>971</v>
      </c>
      <c r="H979">
        <v>-160.98216066715287</v>
      </c>
      <c r="I979">
        <v>971</v>
      </c>
      <c r="J979">
        <v>389.99372088149823</v>
      </c>
    </row>
    <row r="980" spans="1:10" x14ac:dyDescent="0.35">
      <c r="A980">
        <v>972</v>
      </c>
      <c r="B980">
        <v>717.14278841971839</v>
      </c>
      <c r="C980">
        <v>972</v>
      </c>
      <c r="D980">
        <v>681.62988671746973</v>
      </c>
      <c r="E980">
        <v>972</v>
      </c>
      <c r="F980">
        <v>-228.1061229954193</v>
      </c>
      <c r="G980">
        <v>972</v>
      </c>
      <c r="H980">
        <v>1275.6279069653037</v>
      </c>
      <c r="I980">
        <v>972</v>
      </c>
      <c r="J980">
        <v>-91.011927841432012</v>
      </c>
    </row>
    <row r="981" spans="1:10" x14ac:dyDescent="0.35">
      <c r="A981">
        <v>973</v>
      </c>
      <c r="B981">
        <v>473.20102113742212</v>
      </c>
      <c r="C981">
        <v>973</v>
      </c>
      <c r="D981">
        <v>582.62375367527989</v>
      </c>
      <c r="E981">
        <v>973</v>
      </c>
      <c r="F981">
        <v>484.47650727466436</v>
      </c>
      <c r="G981">
        <v>973</v>
      </c>
      <c r="H981">
        <v>1089.5530316349657</v>
      </c>
      <c r="I981">
        <v>973</v>
      </c>
      <c r="J981">
        <v>-883.71666924641477</v>
      </c>
    </row>
    <row r="982" spans="1:10" x14ac:dyDescent="0.35">
      <c r="A982">
        <v>974</v>
      </c>
      <c r="B982">
        <v>631.65781153582338</v>
      </c>
      <c r="C982">
        <v>974</v>
      </c>
      <c r="D982">
        <v>498.87108785798307</v>
      </c>
      <c r="E982">
        <v>974</v>
      </c>
      <c r="F982">
        <v>109.78192654961529</v>
      </c>
      <c r="G982">
        <v>974</v>
      </c>
      <c r="H982">
        <v>-625.3969144857731</v>
      </c>
      <c r="I982">
        <v>974</v>
      </c>
      <c r="J982">
        <v>-87.942395449361996</v>
      </c>
    </row>
    <row r="983" spans="1:10" x14ac:dyDescent="0.35">
      <c r="A983">
        <v>975</v>
      </c>
      <c r="B983">
        <v>482.9998284113974</v>
      </c>
      <c r="C983">
        <v>975</v>
      </c>
      <c r="D983">
        <v>436.88179626932777</v>
      </c>
      <c r="E983">
        <v>975</v>
      </c>
      <c r="F983">
        <v>326.31969694157101</v>
      </c>
      <c r="G983">
        <v>975</v>
      </c>
      <c r="H983">
        <v>132.42942601114902</v>
      </c>
      <c r="I983">
        <v>975</v>
      </c>
      <c r="J983">
        <v>-86.896579651876564</v>
      </c>
    </row>
    <row r="984" spans="1:10" x14ac:dyDescent="0.35">
      <c r="A984">
        <v>976</v>
      </c>
      <c r="B984">
        <v>719.01231554241781</v>
      </c>
      <c r="C984">
        <v>976</v>
      </c>
      <c r="D984">
        <v>598.66082258161271</v>
      </c>
      <c r="E984">
        <v>976</v>
      </c>
      <c r="F984">
        <v>-197.09186209579434</v>
      </c>
      <c r="G984">
        <v>976</v>
      </c>
      <c r="H984">
        <v>1346.3437365400557</v>
      </c>
      <c r="I984">
        <v>976</v>
      </c>
      <c r="J984">
        <v>-89.81420758998695</v>
      </c>
    </row>
    <row r="985" spans="1:10" x14ac:dyDescent="0.35">
      <c r="A985">
        <v>977</v>
      </c>
      <c r="B985">
        <v>385.03280150114574</v>
      </c>
      <c r="C985">
        <v>977</v>
      </c>
      <c r="D985">
        <v>320.61438274070287</v>
      </c>
      <c r="E985">
        <v>977</v>
      </c>
      <c r="F985">
        <v>-58.727266331795789</v>
      </c>
      <c r="G985">
        <v>977</v>
      </c>
      <c r="H985">
        <v>1446.9713508027892</v>
      </c>
      <c r="I985">
        <v>977</v>
      </c>
      <c r="J985">
        <v>-90.173921421704975</v>
      </c>
    </row>
    <row r="986" spans="1:10" x14ac:dyDescent="0.35">
      <c r="A986">
        <v>978</v>
      </c>
      <c r="B986">
        <v>806.00329584586245</v>
      </c>
      <c r="C986">
        <v>978</v>
      </c>
      <c r="D986">
        <v>496.41289637330004</v>
      </c>
      <c r="E986">
        <v>978</v>
      </c>
      <c r="F986">
        <v>-186.41093287810617</v>
      </c>
      <c r="G986">
        <v>978</v>
      </c>
      <c r="H986">
        <v>864.32354974202531</v>
      </c>
      <c r="I986">
        <v>978</v>
      </c>
      <c r="J986">
        <v>-537.26797010221935</v>
      </c>
    </row>
    <row r="987" spans="1:10" x14ac:dyDescent="0.35">
      <c r="A987">
        <v>979</v>
      </c>
      <c r="B987">
        <v>706.98408954791626</v>
      </c>
      <c r="C987">
        <v>979</v>
      </c>
      <c r="D987">
        <v>578.51482618261423</v>
      </c>
      <c r="E987">
        <v>979</v>
      </c>
      <c r="F987">
        <v>12.024699621695667</v>
      </c>
      <c r="G987">
        <v>979</v>
      </c>
      <c r="H987">
        <v>608.82184766060777</v>
      </c>
      <c r="I987">
        <v>979</v>
      </c>
      <c r="J987">
        <v>-140.40387000720796</v>
      </c>
    </row>
    <row r="988" spans="1:10" x14ac:dyDescent="0.35">
      <c r="A988">
        <v>980</v>
      </c>
      <c r="B988">
        <v>714.74049424695431</v>
      </c>
      <c r="C988">
        <v>980</v>
      </c>
      <c r="D988">
        <v>893.34650728461725</v>
      </c>
      <c r="E988">
        <v>980</v>
      </c>
      <c r="F988">
        <v>-125.63251112067832</v>
      </c>
      <c r="G988">
        <v>980</v>
      </c>
      <c r="H988">
        <v>-204.66540533285189</v>
      </c>
      <c r="I988">
        <v>980</v>
      </c>
      <c r="J988">
        <v>-645.30708533412235</v>
      </c>
    </row>
    <row r="989" spans="1:10" x14ac:dyDescent="0.35">
      <c r="A989">
        <v>981</v>
      </c>
      <c r="B989">
        <v>696.18689304543454</v>
      </c>
      <c r="C989">
        <v>981</v>
      </c>
      <c r="D989">
        <v>567.99881087848439</v>
      </c>
      <c r="E989">
        <v>981</v>
      </c>
      <c r="F989">
        <v>71.658376305699562</v>
      </c>
      <c r="G989">
        <v>981</v>
      </c>
      <c r="H989">
        <v>254.85930258013806</v>
      </c>
      <c r="I989">
        <v>981</v>
      </c>
      <c r="J989">
        <v>-420.39935168795694</v>
      </c>
    </row>
    <row r="990" spans="1:10" x14ac:dyDescent="0.35">
      <c r="A990">
        <v>982</v>
      </c>
      <c r="B990">
        <v>725.96847794174812</v>
      </c>
      <c r="C990">
        <v>982</v>
      </c>
      <c r="D990">
        <v>773.43733577610351</v>
      </c>
      <c r="E990">
        <v>982</v>
      </c>
      <c r="F990">
        <v>-126.6845196775763</v>
      </c>
      <c r="G990">
        <v>982</v>
      </c>
      <c r="H990">
        <v>104.16783997345664</v>
      </c>
      <c r="I990">
        <v>982</v>
      </c>
      <c r="J990">
        <v>113.26393011851411</v>
      </c>
    </row>
    <row r="991" spans="1:10" x14ac:dyDescent="0.35">
      <c r="A991">
        <v>983</v>
      </c>
      <c r="B991">
        <v>664.20452371175963</v>
      </c>
      <c r="C991">
        <v>983</v>
      </c>
      <c r="D991">
        <v>728.32010999655608</v>
      </c>
      <c r="E991">
        <v>983</v>
      </c>
      <c r="F991">
        <v>110.00677388626437</v>
      </c>
      <c r="G991">
        <v>983</v>
      </c>
      <c r="H991">
        <v>-209.61944035008634</v>
      </c>
      <c r="I991">
        <v>983</v>
      </c>
      <c r="J991">
        <v>-369.19694633089011</v>
      </c>
    </row>
    <row r="992" spans="1:10" x14ac:dyDescent="0.35">
      <c r="A992">
        <v>984</v>
      </c>
      <c r="B992">
        <v>697.7541435684409</v>
      </c>
      <c r="C992">
        <v>984</v>
      </c>
      <c r="D992">
        <v>471.8465482982383</v>
      </c>
      <c r="E992">
        <v>984</v>
      </c>
      <c r="F992">
        <v>-25.09954488776728</v>
      </c>
      <c r="G992">
        <v>984</v>
      </c>
      <c r="H992">
        <v>434.8128162557303</v>
      </c>
      <c r="I992">
        <v>984</v>
      </c>
      <c r="J992">
        <v>-132.06272344605293</v>
      </c>
    </row>
    <row r="993" spans="1:10" x14ac:dyDescent="0.35">
      <c r="A993">
        <v>985</v>
      </c>
      <c r="B993">
        <v>804.98947680867684</v>
      </c>
      <c r="C993">
        <v>985</v>
      </c>
      <c r="D993">
        <v>848.08231044524246</v>
      </c>
      <c r="E993">
        <v>985</v>
      </c>
      <c r="F993">
        <v>95.827609834604146</v>
      </c>
      <c r="G993">
        <v>985</v>
      </c>
      <c r="H993">
        <v>647.75859478983273</v>
      </c>
      <c r="I993">
        <v>985</v>
      </c>
      <c r="J993">
        <v>-298.4465586876338</v>
      </c>
    </row>
    <row r="994" spans="1:10" x14ac:dyDescent="0.35">
      <c r="A994">
        <v>986</v>
      </c>
      <c r="B994">
        <v>357.22654341320504</v>
      </c>
      <c r="C994">
        <v>986</v>
      </c>
      <c r="D994">
        <v>570.10918421775227</v>
      </c>
      <c r="E994">
        <v>986</v>
      </c>
      <c r="F994">
        <v>-56.399710731072474</v>
      </c>
      <c r="G994">
        <v>986</v>
      </c>
      <c r="H994">
        <v>338.38912146626933</v>
      </c>
      <c r="I994">
        <v>986</v>
      </c>
      <c r="J994">
        <v>-208.09015534767127</v>
      </c>
    </row>
    <row r="995" spans="1:10" x14ac:dyDescent="0.35">
      <c r="A995">
        <v>987</v>
      </c>
      <c r="B995">
        <v>778.10119986021459</v>
      </c>
      <c r="C995">
        <v>987</v>
      </c>
      <c r="D995">
        <v>648.92903060559172</v>
      </c>
      <c r="E995">
        <v>987</v>
      </c>
      <c r="F995">
        <v>-60.006842409757184</v>
      </c>
      <c r="G995">
        <v>987</v>
      </c>
      <c r="H995">
        <v>321.15753993123633</v>
      </c>
      <c r="I995">
        <v>987</v>
      </c>
      <c r="J995">
        <v>-241.03975722987022</v>
      </c>
    </row>
    <row r="996" spans="1:10" x14ac:dyDescent="0.35">
      <c r="A996">
        <v>988</v>
      </c>
      <c r="B996">
        <v>814.39426108694863</v>
      </c>
      <c r="C996">
        <v>988</v>
      </c>
      <c r="D996">
        <v>481.43217759068199</v>
      </c>
      <c r="E996">
        <v>988</v>
      </c>
      <c r="F996">
        <v>82.381191218275745</v>
      </c>
      <c r="G996">
        <v>988</v>
      </c>
      <c r="H996">
        <v>777.28996186330983</v>
      </c>
      <c r="I996">
        <v>988</v>
      </c>
      <c r="J996">
        <v>271.55376400134361</v>
      </c>
    </row>
    <row r="997" spans="1:10" x14ac:dyDescent="0.35">
      <c r="A997">
        <v>989</v>
      </c>
      <c r="B997">
        <v>932.2006313913264</v>
      </c>
      <c r="C997">
        <v>989</v>
      </c>
      <c r="D997">
        <v>733.29511170681531</v>
      </c>
      <c r="E997">
        <v>989</v>
      </c>
      <c r="F997">
        <v>159.75148758912769</v>
      </c>
      <c r="G997">
        <v>989</v>
      </c>
      <c r="H997">
        <v>-475.95824056364057</v>
      </c>
      <c r="I997">
        <v>989</v>
      </c>
      <c r="J997">
        <v>-91.994657877945571</v>
      </c>
    </row>
    <row r="998" spans="1:10" x14ac:dyDescent="0.35">
      <c r="A998">
        <v>990</v>
      </c>
      <c r="B998">
        <v>488.45668233192237</v>
      </c>
      <c r="C998">
        <v>990</v>
      </c>
      <c r="D998">
        <v>621.4159853937532</v>
      </c>
      <c r="E998">
        <v>990</v>
      </c>
      <c r="F998">
        <v>-279.6097243112502</v>
      </c>
      <c r="G998">
        <v>990</v>
      </c>
      <c r="H998">
        <v>921.49765976863898</v>
      </c>
      <c r="I998">
        <v>990</v>
      </c>
      <c r="J998">
        <v>-108.49956010388263</v>
      </c>
    </row>
    <row r="999" spans="1:10" x14ac:dyDescent="0.35">
      <c r="A999">
        <v>991</v>
      </c>
      <c r="B999">
        <v>475.81601094788982</v>
      </c>
      <c r="C999">
        <v>991</v>
      </c>
      <c r="D999">
        <v>473.61190059761049</v>
      </c>
      <c r="E999">
        <v>991</v>
      </c>
      <c r="F999">
        <v>-199.782858307852</v>
      </c>
      <c r="G999">
        <v>991</v>
      </c>
      <c r="H999">
        <v>500.91391273066523</v>
      </c>
      <c r="I999">
        <v>991</v>
      </c>
      <c r="J999">
        <v>-365.53100318505466</v>
      </c>
    </row>
    <row r="1000" spans="1:10" x14ac:dyDescent="0.35">
      <c r="A1000">
        <v>992</v>
      </c>
      <c r="B1000">
        <v>382.23182987543066</v>
      </c>
      <c r="C1000">
        <v>992</v>
      </c>
      <c r="D1000">
        <v>424.71698137210296</v>
      </c>
      <c r="E1000">
        <v>992</v>
      </c>
      <c r="F1000">
        <v>554.6607680172516</v>
      </c>
      <c r="G1000">
        <v>992</v>
      </c>
      <c r="H1000">
        <v>515.06149364675855</v>
      </c>
      <c r="I1000">
        <v>992</v>
      </c>
      <c r="J1000">
        <v>-686.92629935622222</v>
      </c>
    </row>
    <row r="1001" spans="1:10" x14ac:dyDescent="0.35">
      <c r="A1001">
        <v>993</v>
      </c>
      <c r="B1001">
        <v>492.23441548061271</v>
      </c>
      <c r="C1001">
        <v>993</v>
      </c>
      <c r="D1001">
        <v>746.38700147711063</v>
      </c>
      <c r="E1001">
        <v>993</v>
      </c>
      <c r="F1001">
        <v>-9.9508731261820316</v>
      </c>
      <c r="G1001">
        <v>993</v>
      </c>
      <c r="H1001">
        <v>70.254910809483874</v>
      </c>
      <c r="I1001">
        <v>993</v>
      </c>
      <c r="J1001">
        <v>332.97731985505357</v>
      </c>
    </row>
    <row r="1002" spans="1:10" x14ac:dyDescent="0.35">
      <c r="A1002">
        <v>994</v>
      </c>
      <c r="B1002">
        <v>554.81878643307482</v>
      </c>
      <c r="C1002">
        <v>994</v>
      </c>
      <c r="D1002">
        <v>818.73373088733729</v>
      </c>
      <c r="E1002">
        <v>994</v>
      </c>
      <c r="F1002">
        <v>409.64933563102943</v>
      </c>
      <c r="G1002">
        <v>994</v>
      </c>
      <c r="H1002">
        <v>822.91549062535569</v>
      </c>
      <c r="I1002">
        <v>994</v>
      </c>
      <c r="J1002">
        <v>-25.615603944168924</v>
      </c>
    </row>
    <row r="1003" spans="1:10" x14ac:dyDescent="0.35">
      <c r="A1003">
        <v>995</v>
      </c>
      <c r="B1003">
        <v>410.96441202636794</v>
      </c>
      <c r="C1003">
        <v>995</v>
      </c>
      <c r="D1003">
        <v>559.99994921493089</v>
      </c>
      <c r="E1003">
        <v>995</v>
      </c>
      <c r="F1003">
        <v>137.41702188254945</v>
      </c>
      <c r="G1003">
        <v>995</v>
      </c>
      <c r="H1003">
        <v>598.77026833361742</v>
      </c>
      <c r="I1003">
        <v>995</v>
      </c>
      <c r="J1003">
        <v>553.32905246109908</v>
      </c>
    </row>
    <row r="1004" spans="1:10" x14ac:dyDescent="0.35">
      <c r="A1004">
        <v>996</v>
      </c>
      <c r="B1004">
        <v>825.99763859533186</v>
      </c>
      <c r="C1004">
        <v>996</v>
      </c>
      <c r="D1004">
        <v>894.04229347117166</v>
      </c>
      <c r="E1004">
        <v>996</v>
      </c>
      <c r="F1004">
        <v>-5.2786107975418872</v>
      </c>
      <c r="G1004">
        <v>996</v>
      </c>
      <c r="H1004">
        <v>1031.844549822913</v>
      </c>
      <c r="I1004">
        <v>996</v>
      </c>
      <c r="J1004">
        <v>-175.23831014593532</v>
      </c>
    </row>
    <row r="1005" spans="1:10" x14ac:dyDescent="0.35">
      <c r="A1005">
        <v>997</v>
      </c>
      <c r="B1005">
        <v>586.50977223329789</v>
      </c>
      <c r="C1005">
        <v>997</v>
      </c>
      <c r="D1005">
        <v>679.77618063187936</v>
      </c>
      <c r="E1005">
        <v>997</v>
      </c>
      <c r="F1005">
        <v>39.650891653756048</v>
      </c>
      <c r="G1005">
        <v>997</v>
      </c>
      <c r="H1005">
        <v>-391.37660909554342</v>
      </c>
      <c r="I1005">
        <v>997</v>
      </c>
      <c r="J1005">
        <v>125.79956809847579</v>
      </c>
    </row>
    <row r="1006" spans="1:10" x14ac:dyDescent="0.35">
      <c r="A1006">
        <v>998</v>
      </c>
      <c r="B1006">
        <v>778.9609249034138</v>
      </c>
      <c r="C1006">
        <v>998</v>
      </c>
      <c r="D1006">
        <v>710.50458868541</v>
      </c>
      <c r="E1006">
        <v>998</v>
      </c>
      <c r="F1006">
        <v>243.24874072400243</v>
      </c>
      <c r="G1006">
        <v>998</v>
      </c>
      <c r="H1006">
        <v>222.96980373777271</v>
      </c>
      <c r="I1006">
        <v>998</v>
      </c>
      <c r="J1006">
        <v>-808.37513254014948</v>
      </c>
    </row>
    <row r="1007" spans="1:10" x14ac:dyDescent="0.35">
      <c r="A1007">
        <v>999</v>
      </c>
      <c r="B1007">
        <v>697.59896919327059</v>
      </c>
      <c r="C1007">
        <v>999</v>
      </c>
      <c r="D1007">
        <v>953.68744173942605</v>
      </c>
      <c r="E1007">
        <v>999</v>
      </c>
      <c r="F1007">
        <v>-222.01998117674498</v>
      </c>
      <c r="G1007">
        <v>999</v>
      </c>
      <c r="H1007">
        <v>93.350808796405886</v>
      </c>
      <c r="I1007">
        <v>999</v>
      </c>
      <c r="J1007">
        <v>106.39485046692988</v>
      </c>
    </row>
    <row r="1008" spans="1:10" x14ac:dyDescent="0.35">
      <c r="A1008">
        <v>1000</v>
      </c>
      <c r="B1008">
        <v>266.67678833904807</v>
      </c>
      <c r="C1008">
        <v>1000</v>
      </c>
      <c r="D1008">
        <v>332.30789234040924</v>
      </c>
      <c r="E1008">
        <v>1000</v>
      </c>
      <c r="F1008">
        <v>-21.00247405273997</v>
      </c>
      <c r="G1008">
        <v>1000</v>
      </c>
      <c r="H1008">
        <v>33.553608182514097</v>
      </c>
      <c r="I1008">
        <v>1000</v>
      </c>
      <c r="J1008">
        <v>-301.66634752800735</v>
      </c>
    </row>
    <row r="1011" spans="3:8" ht="21" x14ac:dyDescent="0.5">
      <c r="C1011" s="57" t="s">
        <v>284</v>
      </c>
      <c r="D1011" s="57"/>
      <c r="E1011" s="57"/>
      <c r="F1011" s="57"/>
      <c r="G1011" s="57"/>
      <c r="H1011" s="57"/>
    </row>
    <row r="1012" spans="3:8" x14ac:dyDescent="0.35">
      <c r="D1012" s="51" t="s">
        <v>131</v>
      </c>
      <c r="E1012" s="51" t="s">
        <v>276</v>
      </c>
      <c r="F1012" s="51" t="s">
        <v>277</v>
      </c>
      <c r="G1012" s="51" t="s">
        <v>279</v>
      </c>
      <c r="H1012" s="51" t="s">
        <v>280</v>
      </c>
    </row>
    <row r="1013" spans="3:8" x14ac:dyDescent="0.35">
      <c r="C1013" s="42" t="s">
        <v>272</v>
      </c>
      <c r="D1013">
        <f ca="1">AVERAGE(B9:B1008)</f>
        <v>642.5227193726929</v>
      </c>
      <c r="E1013">
        <f ca="1">AVERAGE(D9:D1008)</f>
        <v>637.36915029758973</v>
      </c>
      <c r="F1013">
        <f ca="1">AVERAGE(F9:F1008)</f>
        <v>73.352616212995841</v>
      </c>
      <c r="G1013">
        <f ca="1">AVERAGE(H9:H1008)</f>
        <v>482.09512254833948</v>
      </c>
      <c r="H1013">
        <f ca="1">AVERAGE(J9:J1008)</f>
        <v>-188.27742548909168</v>
      </c>
    </row>
    <row r="1014" spans="3:8" x14ac:dyDescent="0.35">
      <c r="C1014" s="42" t="s">
        <v>273</v>
      </c>
      <c r="D1014">
        <f ca="1">MEDIAN(B9:B1008)</f>
        <v>648.05035513614462</v>
      </c>
      <c r="E1014">
        <f ca="1">MEDIAN(D9:D1008)</f>
        <v>635.59015115261673</v>
      </c>
      <c r="F1014">
        <f ca="1">MEDIAN(F9:F1008)</f>
        <v>69.394441350645991</v>
      </c>
      <c r="G1014">
        <f ca="1">MEDIAN(H9:H1008)</f>
        <v>485.13517180835561</v>
      </c>
      <c r="H1014">
        <f ca="1">MEDIAN(J9:J1008)</f>
        <v>-184.41713495796341</v>
      </c>
    </row>
    <row r="1015" spans="3:8" x14ac:dyDescent="0.35">
      <c r="C1015" s="42" t="s">
        <v>270</v>
      </c>
      <c r="D1015">
        <f ca="1">_xlfn.STDEV.S(B9:B1008)</f>
        <v>202.42321178829394</v>
      </c>
      <c r="E1015">
        <f ca="1">_xlfn.STDEV.S(F9:F1008)</f>
        <v>227.36555883450222</v>
      </c>
      <c r="F1015">
        <f ca="1">_xlfn.STDEV.S(F9:F1008)</f>
        <v>227.36555883450222</v>
      </c>
      <c r="G1015">
        <f ca="1">_xlfn.STDEV.S(H9:H1008)</f>
        <v>360.91120257809627</v>
      </c>
      <c r="H1015">
        <f ca="1">_xlfn.STDEV.S(J9:J1008)</f>
        <v>323.70283165131775</v>
      </c>
    </row>
    <row r="1016" spans="3:8" x14ac:dyDescent="0.35">
      <c r="C1016" s="42" t="s">
        <v>274</v>
      </c>
      <c r="D1016">
        <f ca="1">MAX(B9:B1008)</f>
        <v>1281.3259263035015</v>
      </c>
      <c r="E1016">
        <f ca="1">MAX(D9:D1008)</f>
        <v>1262.3890258963174</v>
      </c>
      <c r="F1016">
        <f ca="1">MAX(F9:F1008)</f>
        <v>823.10328768535931</v>
      </c>
      <c r="G1016">
        <f ca="1">MAX(H9:H1008)</f>
        <v>1673.1855742595853</v>
      </c>
      <c r="H1016">
        <f ca="1">MAX(J9:J1008)</f>
        <v>780.6665037574478</v>
      </c>
    </row>
    <row r="1017" spans="3:8" x14ac:dyDescent="0.35">
      <c r="C1017" s="42" t="s">
        <v>275</v>
      </c>
      <c r="D1017">
        <f ca="1">MIN(B9:B1008)</f>
        <v>-17.68646103608387</v>
      </c>
      <c r="E1017">
        <f ca="1">MIN(D9:D1008)</f>
        <v>37.937862385509106</v>
      </c>
      <c r="F1017">
        <f ca="1">MIN(F9:F1008)</f>
        <v>-573.80848683997544</v>
      </c>
      <c r="G1017">
        <f ca="1">MIN(H9:H1008)</f>
        <v>-625.3969144857731</v>
      </c>
      <c r="H1017">
        <f ca="1">MIN(J9:J1008)</f>
        <v>-1310.2987697945068</v>
      </c>
    </row>
  </sheetData>
  <mergeCells count="2">
    <mergeCell ref="C1011:H1011"/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0E58-BBBD-482D-85A3-DFC7BCD8FD16}">
  <dimension ref="A1:B72"/>
  <sheetViews>
    <sheetView workbookViewId="0">
      <selection activeCell="A31" sqref="A31"/>
    </sheetView>
  </sheetViews>
  <sheetFormatPr defaultRowHeight="14.5" x14ac:dyDescent="0.35"/>
  <cols>
    <col min="1" max="1" width="33.81640625" customWidth="1"/>
    <col min="2" max="2" width="16.90625" customWidth="1"/>
  </cols>
  <sheetData>
    <row r="1" spans="1:1" ht="17.5" x14ac:dyDescent="0.35">
      <c r="A1" s="44" t="s">
        <v>180</v>
      </c>
    </row>
    <row r="3" spans="1:1" x14ac:dyDescent="0.35">
      <c r="A3" s="39" t="s">
        <v>181</v>
      </c>
    </row>
    <row r="4" spans="1:1" x14ac:dyDescent="0.35">
      <c r="A4" s="45"/>
    </row>
    <row r="5" spans="1:1" x14ac:dyDescent="0.35">
      <c r="A5" s="46" t="s">
        <v>182</v>
      </c>
    </row>
    <row r="6" spans="1:1" x14ac:dyDescent="0.35">
      <c r="A6" s="45"/>
    </row>
    <row r="7" spans="1:1" x14ac:dyDescent="0.35">
      <c r="A7" s="46" t="s">
        <v>183</v>
      </c>
    </row>
    <row r="8" spans="1:1" x14ac:dyDescent="0.35">
      <c r="A8" s="45"/>
    </row>
    <row r="9" spans="1:1" x14ac:dyDescent="0.35">
      <c r="A9" s="46" t="s">
        <v>184</v>
      </c>
    </row>
    <row r="10" spans="1:1" x14ac:dyDescent="0.35">
      <c r="A10" s="45"/>
    </row>
    <row r="11" spans="1:1" x14ac:dyDescent="0.35">
      <c r="A11" s="46" t="s">
        <v>185</v>
      </c>
    </row>
    <row r="12" spans="1:1" x14ac:dyDescent="0.35">
      <c r="A12" s="39" t="s">
        <v>186</v>
      </c>
    </row>
    <row r="13" spans="1:1" ht="17.5" x14ac:dyDescent="0.35">
      <c r="A13" s="44" t="s">
        <v>187</v>
      </c>
    </row>
    <row r="15" spans="1:1" x14ac:dyDescent="0.35">
      <c r="A15" t="s">
        <v>188</v>
      </c>
    </row>
    <row r="16" spans="1:1" x14ac:dyDescent="0.35">
      <c r="A16" t="s">
        <v>189</v>
      </c>
    </row>
    <row r="18" spans="1:1" x14ac:dyDescent="0.35">
      <c r="A18" s="39" t="s">
        <v>190</v>
      </c>
    </row>
    <row r="19" spans="1:1" x14ac:dyDescent="0.35">
      <c r="A19" s="45"/>
    </row>
    <row r="20" spans="1:1" x14ac:dyDescent="0.35">
      <c r="A20" s="46" t="s">
        <v>191</v>
      </c>
    </row>
    <row r="21" spans="1:1" x14ac:dyDescent="0.35">
      <c r="A21" s="45"/>
    </row>
    <row r="22" spans="1:1" x14ac:dyDescent="0.35">
      <c r="A22" s="46" t="s">
        <v>192</v>
      </c>
    </row>
    <row r="23" spans="1:1" x14ac:dyDescent="0.35">
      <c r="A23" s="45"/>
    </row>
    <row r="24" spans="1:1" x14ac:dyDescent="0.35">
      <c r="A24" s="46" t="s">
        <v>193</v>
      </c>
    </row>
    <row r="25" spans="1:1" x14ac:dyDescent="0.35">
      <c r="A25" s="45"/>
    </row>
    <row r="26" spans="1:1" x14ac:dyDescent="0.35">
      <c r="A26" s="46" t="s">
        <v>194</v>
      </c>
    </row>
    <row r="27" spans="1:1" x14ac:dyDescent="0.35">
      <c r="A27" s="45"/>
    </row>
    <row r="28" spans="1:1" x14ac:dyDescent="0.35">
      <c r="A28" s="46" t="s">
        <v>195</v>
      </c>
    </row>
    <row r="29" spans="1:1" x14ac:dyDescent="0.35">
      <c r="A29" s="45"/>
    </row>
    <row r="30" spans="1:1" x14ac:dyDescent="0.35">
      <c r="A30" s="46" t="s">
        <v>196</v>
      </c>
    </row>
    <row r="34" spans="1:2" ht="17.5" x14ac:dyDescent="0.35">
      <c r="A34" s="44" t="s">
        <v>197</v>
      </c>
    </row>
    <row r="36" spans="1:2" x14ac:dyDescent="0.35">
      <c r="A36" s="47" t="s">
        <v>198</v>
      </c>
      <c r="B36" s="47" t="s">
        <v>199</v>
      </c>
    </row>
    <row r="37" spans="1:2" ht="43.5" x14ac:dyDescent="0.35">
      <c r="A37" s="34" t="s">
        <v>200</v>
      </c>
      <c r="B37" s="48" t="s">
        <v>201</v>
      </c>
    </row>
    <row r="38" spans="1:2" ht="43.5" x14ac:dyDescent="0.35">
      <c r="A38" s="34" t="s">
        <v>202</v>
      </c>
      <c r="B38" s="49">
        <v>0.55000000000000004</v>
      </c>
    </row>
    <row r="39" spans="1:2" ht="43.5" x14ac:dyDescent="0.35">
      <c r="A39" s="34" t="s">
        <v>203</v>
      </c>
      <c r="B39" s="48" t="s">
        <v>204</v>
      </c>
    </row>
    <row r="40" spans="1:2" x14ac:dyDescent="0.35">
      <c r="A40" s="34" t="s">
        <v>205</v>
      </c>
      <c r="B40" s="48" t="s">
        <v>206</v>
      </c>
    </row>
    <row r="41" spans="1:2" x14ac:dyDescent="0.35">
      <c r="A41" s="34" t="s">
        <v>207</v>
      </c>
      <c r="B41" s="34" t="s">
        <v>208</v>
      </c>
    </row>
    <row r="42" spans="1:2" x14ac:dyDescent="0.35">
      <c r="A42" s="34" t="s">
        <v>209</v>
      </c>
      <c r="B42" s="34" t="s">
        <v>210</v>
      </c>
    </row>
    <row r="45" spans="1:2" ht="17.5" x14ac:dyDescent="0.35">
      <c r="A45" s="44" t="s">
        <v>211</v>
      </c>
    </row>
    <row r="46" spans="1:2" x14ac:dyDescent="0.35">
      <c r="A46" s="45"/>
    </row>
    <row r="47" spans="1:2" x14ac:dyDescent="0.35">
      <c r="A47" s="46" t="s">
        <v>212</v>
      </c>
    </row>
    <row r="48" spans="1:2" x14ac:dyDescent="0.35">
      <c r="A48" s="45"/>
    </row>
    <row r="49" spans="1:1" x14ac:dyDescent="0.35">
      <c r="A49" s="46" t="s">
        <v>213</v>
      </c>
    </row>
    <row r="50" spans="1:1" x14ac:dyDescent="0.35">
      <c r="A50" s="45"/>
    </row>
    <row r="51" spans="1:1" x14ac:dyDescent="0.35">
      <c r="A51" s="46" t="s">
        <v>214</v>
      </c>
    </row>
    <row r="52" spans="1:1" ht="17.5" x14ac:dyDescent="0.35">
      <c r="A52" s="44" t="s">
        <v>215</v>
      </c>
    </row>
    <row r="53" spans="1:1" x14ac:dyDescent="0.35">
      <c r="A53" s="45"/>
    </row>
    <row r="54" spans="1:1" x14ac:dyDescent="0.35">
      <c r="A54" s="46" t="s">
        <v>216</v>
      </c>
    </row>
    <row r="55" spans="1:1" x14ac:dyDescent="0.35">
      <c r="A55" s="45"/>
    </row>
    <row r="56" spans="1:1" x14ac:dyDescent="0.35">
      <c r="A56" s="46" t="s">
        <v>217</v>
      </c>
    </row>
    <row r="57" spans="1:1" x14ac:dyDescent="0.35">
      <c r="A57" s="45"/>
    </row>
    <row r="58" spans="1:1" x14ac:dyDescent="0.35">
      <c r="A58" s="46" t="s">
        <v>218</v>
      </c>
    </row>
    <row r="59" spans="1:1" x14ac:dyDescent="0.35">
      <c r="A59" s="45"/>
    </row>
    <row r="60" spans="1:1" x14ac:dyDescent="0.35">
      <c r="A60" s="46" t="s">
        <v>219</v>
      </c>
    </row>
    <row r="64" spans="1:1" ht="17.5" x14ac:dyDescent="0.35">
      <c r="A64" s="44" t="s">
        <v>220</v>
      </c>
    </row>
    <row r="65" spans="1:1" x14ac:dyDescent="0.35">
      <c r="A65" s="45"/>
    </row>
    <row r="66" spans="1:1" x14ac:dyDescent="0.35">
      <c r="A66" s="46" t="s">
        <v>221</v>
      </c>
    </row>
    <row r="67" spans="1:1" x14ac:dyDescent="0.35">
      <c r="A67" s="45"/>
    </row>
    <row r="68" spans="1:1" x14ac:dyDescent="0.35">
      <c r="A68" s="46" t="s">
        <v>222</v>
      </c>
    </row>
    <row r="69" spans="1:1" x14ac:dyDescent="0.35">
      <c r="A69" s="45"/>
    </row>
    <row r="70" spans="1:1" x14ac:dyDescent="0.35">
      <c r="A70" s="46" t="s">
        <v>223</v>
      </c>
    </row>
    <row r="71" spans="1:1" x14ac:dyDescent="0.35">
      <c r="A71" s="45"/>
    </row>
    <row r="72" spans="1:1" x14ac:dyDescent="0.35">
      <c r="A72" s="46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balance sheet</vt:lpstr>
      <vt:lpstr>profit and loss account</vt:lpstr>
      <vt:lpstr>cash flow statement</vt:lpstr>
      <vt:lpstr>key ratios</vt:lpstr>
      <vt:lpstr>key financial performance indi</vt:lpstr>
      <vt:lpstr>KEY FINANCIALS</vt:lpstr>
      <vt:lpstr>FORMULAS </vt:lpstr>
      <vt:lpstr>QUESTION</vt:lpstr>
      <vt:lpstr>fcff</vt:lpstr>
      <vt:lpstr>simulation analysis</vt:lpstr>
      <vt:lpstr>ABOUT THE 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2025-10-15T17:50:13Z</dcterms:created>
  <dcterms:modified xsi:type="dcterms:W3CDTF">2025-11-09T08:51:54Z</dcterms:modified>
</cp:coreProperties>
</file>